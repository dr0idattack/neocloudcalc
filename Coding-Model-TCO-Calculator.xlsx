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 sheetId="1" state="visible" r:id="rId1"/>
    <sheet name="Inputs" sheetId="2" state="visible" r:id="rId2"/>
    <sheet name="Models" sheetId="3" state="visible" r:id="rId3"/>
    <sheet name="Scale" sheetId="4" state="visible" r:id="rId4"/>
    <sheet name="Workings" sheetId="5" state="visible" r:id="rId5"/>
    <sheet name="Catalogues" sheetId="6" state="visible" r:id="rId6"/>
  </sheets>
  <definedNames>
    <definedName name="cat_models">'Catalogues'!$A$6:$A$15</definedName>
    <definedName name="cat_quants">'Catalogues'!$A$20:$A$22</definedName>
    <definedName name="cat_gpus">'Catalogues'!$A$26:$A$33</definedName>
    <definedName name="cat_plans">'Catalogues'!$A$38:$A$47</definedName>
    <definedName name="cat_frontier">'Catalogues'!$A$52:$A$55</definedName>
    <definedName name="cat_profiles">'Catalogues'!$A$60:$A$62</definedName>
    <definedName name="tbl_models">'Catalogues'!$A$6:$D$15</definedName>
    <definedName name="tbl_quants">'Catalogues'!$A$20:$C$22</definedName>
    <definedName name="tbl_gpus">'Catalogues'!$A$26:$G$33</definedName>
    <definedName name="tbl_plans">'Catalogues'!$A$38:$D$47</definedName>
    <definedName name="tbl_frontier">'Catalogues'!$A$52:$E$55</definedName>
    <definedName name="tbl_profiles">'Catalogues'!$A$60:$G$62</definedName>
    <definedName name="sel_model">'Inputs'!$B$11</definedName>
    <definedName name="sel_quant">'Inputs'!$B$12</definedName>
    <definedName name="sel_gpu">'Inputs'!$B$13</definedName>
    <definedName name="sel_plan">'Inputs'!$B$14</definedName>
    <definedName name="sel_profile">'Inputs'!$B$15</definedName>
    <definedName name="devs">'Inputs'!$B$19</definedName>
    <definedName name="workdays">'Inputs'!$B$20</definedName>
    <definedName name="inTok">'Inputs'!$B$21</definedName>
    <definedName name="outTok">'Inputs'!$B$22</definedName>
    <definedName name="cacheShare">'Inputs'!$B$23</definedName>
    <definedName name="codeHrs">'Inputs'!$B$24</definedName>
    <definedName name="acceptFrontier">'Inputs'!$B$28</definedName>
    <definedName name="acceptOpen">'Inputs'!$B$29</definedName>
    <definedName name="repairFrontier">'Inputs'!$B$30</definedName>
    <definedName name="repairOpen">'Inputs'!$B$31</definedName>
    <definedName name="hardFrontier">'Inputs'!$B$32</definedName>
    <definedName name="hardOpen">'Inputs'!$B$33</definedName>
    <definedName name="tasksDay">'Inputs'!$B$34</definedName>
    <definedName name="minPerAttempt">'Inputs'!$B$35</definedName>
    <definedName name="maxRetries">'Inputs'!$B$36</definedName>
    <definedName name="minPerHumanTask">'Inputs'!$B$37</definedName>
    <definedName name="countFallback">'Inputs'!$B$38</definedName>
    <definedName name="ctxK">'Inputs'!$B$42</definedName>
    <definedName name="batch">'Inputs'!$B$43</definedName>
    <definedName name="bwEff">'Inputs'!$B$44</definedName>
    <definedName name="streamCap">'Inputs'!$B$45</definedName>
    <definedName name="ckpts">'Inputs'!$B$46</definedName>
    <definedName name="sessConc">'Inputs'!$B$47</definedName>
    <definedName name="activeHrs">'Inputs'!$B$48</definedName>
    <definedName name="peak">'Inputs'!$B$49</definedName>
    <definedName name="nodeSize">'Inputs'!$B$50</definedName>
    <definedName name="multiNodeLoss">'Inputs'!$B$51</definedName>
    <definedName name="lapBw">'Inputs'!$B$52</definedName>
    <definedName name="lapRam">'Inputs'!$B$53</definedName>
    <definedName name="gpuVram">'Inputs'!$B$57</definedName>
    <definedName name="gpuBw">'Inputs'!$B$58</definedName>
    <definedName name="gpuTf">'Inputs'!$B$59</definedName>
    <definedName name="gpuBuy">'Inputs'!$B$60</definedName>
    <definedName name="gpuRent">'Inputs'!$B$61</definedName>
    <definedName name="gpuW">'Inputs'!$B$62</definedName>
    <definedName name="hostCost">'Inputs'!$B$63</definedName>
    <definedName name="rentUtil">'Inputs'!$B$64</definedName>
    <definedName name="pue">'Inputs'!$B$68</definedName>
    <definedName name="kwhDc">'Inputs'!$B$69</definedName>
    <definedName name="coloKw">'Inputs'!$B$70</definedName>
    <definedName name="storGb">'Inputs'!$B$71</definedName>
    <definedName name="lapUplift">'Inputs'!$B$72</definedName>
    <definedName name="lapWatts">'Inputs'!$B$73</definedName>
    <definedName name="lapSupport">'Inputs'!$B$74</definedName>
    <definedName name="itRate">'Inputs'!$B$75</definedName>
    <definedName name="kwhOffice">'Inputs'!$B$76</definedName>
    <definedName name="labourYN">'Inputs'!$B$80</definedName>
    <definedName name="netFabric">'Inputs'!$B$81</definedName>
    <definedName name="installHost">'Inputs'!$B$82</definedName>
    <definedName name="spares">'Inputs'!$B$83</definedName>
    <definedName name="warranty">'Inputs'!$B$84</definedName>
    <definedName name="setupArch">'Inputs'!$B$85</definedName>
    <definedName name="setupRack">'Inputs'!$B$86</definedName>
    <definedName name="setupStack">'Inputs'!$B$87</definedName>
    <definedName name="setupEval">'Inputs'!$B$88</definedName>
    <definedName name="setupSec">'Inputs'!$B$89</definedName>
    <definedName name="horizon">'Inputs'!$B$93</definedName>
    <definedName name="amort">'Inputs'!$B$94</definedName>
    <definedName name="devRate">'Inputs'!$B$95</definedName>
    <definedName name="fteCost">'Inputs'!$B$96</definedName>
    <definedName name="platformFte">'Inputs'!$B$97</definedName>
    <definedName name="platformAt">'Inputs'!$B$98</definedName>
    <definedName name="soloAt">'Inputs'!$B$99</definedName>
    <definedName name="adminFte">'Inputs'!$B$100</definedName>
    <definedName name="cloudOps">'Inputs'!$B$101</definedName>
    <definedName name="ownsPlatform">'Inputs'!$B$102</definedName>
    <definedName name="apiDiscount">'Inputs'!$B$103</definedName>
    <definedName name="anIn">'Inputs'!$B$107</definedName>
    <definedName name="anOut">'Inputs'!$B$108</definedName>
    <definedName name="anCache">'Inputs'!$B$109</definedName>
    <definedName name="anTpm">'Inputs'!$B$110</definedName>
    <definedName name="oaIn">'Inputs'!$B$111</definedName>
    <definedName name="oaOut">'Inputs'!$B$112</definedName>
    <definedName name="oaCache">'Inputs'!$B$113</definedName>
    <definedName name="oaTpm">'Inputs'!$B$114</definedName>
    <definedName name="bedIn">'Inputs'!$B$115</definedName>
    <definedName name="bedOut">'Inputs'!$B$116</definedName>
    <definedName name="bedCache">'Inputs'!$B$117</definedName>
    <definedName name="bedTpm">'Inputs'!$B$118</definedName>
    <definedName name="azIn">'Inputs'!$B$119</definedName>
    <definedName name="azOut">'Inputs'!$B$120</definedName>
    <definedName name="azCache">'Inputs'!$B$121</definedName>
    <definedName name="azTpm">'Inputs'!$B$122</definedName>
    <definedName name="orIn">'Inputs'!$B$123</definedName>
    <definedName name="orOut">'Inputs'!$B$124</definedName>
    <definedName name="orCache">'Inputs'!$B$125</definedName>
    <definedName name="orFee">'Inputs'!$B$126</definedName>
    <definedName name="orTpm">'Inputs'!$B$127</definedName>
    <definedName name="seat">'Inputs'!$B$128</definedName>
    <definedName name="seatBase">'Inputs'!$B$129</definedName>
    <definedName name="seatTpm">'Inputs'!$B$130</definedName>
    <definedName name="ownsBase">'Inputs'!$B$131</definedName>
    <definedName name="m_inTok">'Workings'!$B$5</definedName>
    <definedName name="m_outTok">'Workings'!$B$6</definedName>
    <definedName name="m_cached">'Workings'!$B$7</definedName>
    <definedName name="m_fresh">'Workings'!$B$8</definedName>
    <definedName name="acceptedTasks">'Workings'!$B$9</definedName>
    <definedName name="codingHours">'Workings'!$B$10</definedName>
    <definedName name="fteMo">'Workings'!$B$11</definedName>
    <definedName name="engHr">'Workings'!$B$12</definedName>
    <definedName name="disc">'Workings'!$B$13</definedName>
    <definedName name="sessTps">'Workings'!$B$14</definedName>
    <definedName name="liveSessions">'Workings'!$B$15</definedName>
    <definedName name="F_att">'Workings'!$C$26</definedName>
    <definedName name="F_acc">'Workings'!$D$26</definedName>
    <definedName name="F_unres">'Workings'!$E$26</definedName>
    <definedName name="O_att">'Workings'!$G$26</definedName>
    <definedName name="O_acc">'Workings'!$H$26</definedName>
    <definedName name="O_unres">'Workings'!$I$26</definedName>
    <definedName name="H_esc">'Workings'!$B$29</definedName>
    <definedName name="H_acc">'Workings'!$B$30</definedName>
    <definedName name="H_unres">'Workings'!$B$31</definedName>
    <definedName name="H_openAtt">'Workings'!$B$32</definedName>
    <definedName name="H_frontAtt">'Workings'!$B$33</definedName>
    <definedName name="baseMins">'Workings'!$I$40</definedName>
    <definedName name="mins_f">'Workings'!$I$37</definedName>
    <definedName name="mins_o">'Workings'!$I$38</definedName>
    <definedName name="mins_h">'Workings'!$I$39</definedName>
    <definedName name="att_f">'Workings'!$B$37</definedName>
    <definedName name="unres_f">'Workings'!$E$37</definedName>
    <definedName name="tm_f">'Workings'!$F$37</definedName>
    <definedName name="own_f">'Workings'!$G$37</definedName>
    <definedName name="api_f">'Workings'!$H$37</definedName>
    <definedName name="drag_f">'Workings'!$J$37</definedName>
    <definedName name="att_o">'Workings'!$B$38</definedName>
    <definedName name="unres_o">'Workings'!$E$38</definedName>
    <definedName name="tm_o">'Workings'!$F$38</definedName>
    <definedName name="own_o">'Workings'!$G$38</definedName>
    <definedName name="api_o">'Workings'!$H$38</definedName>
    <definedName name="drag_o">'Workings'!$J$38</definedName>
    <definedName name="att_h">'Workings'!$B$39</definedName>
    <definedName name="unres_h">'Workings'!$E$39</definedName>
    <definedName name="tm_h">'Workings'!$F$39</definedName>
    <definedName name="own_h">'Workings'!$G$39</definedName>
    <definedName name="api_h">'Workings'!$H$39</definedName>
    <definedName name="drag_h">'Workings'!$J$39</definedName>
    <definedName name="m_total">'Workings'!$B$45</definedName>
    <definedName name="m_active">'Workings'!$B$46</definedName>
    <definedName name="m_kv">'Workings'!$B$47</definedName>
    <definedName name="q_bytes">'Workings'!$B$48</definedName>
    <definedName name="q_kv">'Workings'!$B$49</definedName>
    <definedName name="weightsGb">'Workings'!$B$50</definedName>
    <definedName name="kvGb">'Workings'!$B$51</definedName>
    <definedName name="ovGb">'Workings'!$B$52</definedName>
    <definedName name="vramNeed">'Workings'!$B$53</definedName>
    <definedName name="rawCards">'Workings'!$B$54</definedName>
    <definedName name="gpusPerReplica">'Workings'!$B$55</definedName>
    <definedName name="nodesPerReplica">'Workings'!$B$56</definedName>
    <definedName name="linkEff">'Workings'!$B$57</definedName>
    <definedName name="bytesPerTok">'Workings'!$B$58</definedName>
    <definedName name="perStream">'Workings'!$B$59</definedName>
    <definedName name="replicaTps">'Workings'!$B$60</definedName>
    <definedName name="peakTps">'Workings'!$B$61</definedName>
    <definedName name="replicas">'Workings'!$B$62</definedName>
    <definedName name="gpus">'Workings'!$B$63</definedName>
    <definedName name="fleetTps">'Workings'!$B$64</definedName>
    <definedName name="ttft">'Workings'!$B$65</definedName>
    <definedName name="storageGb">'Workings'!$B$66</definedName>
    <definedName name="fitsLaptop">'Workings'!$B$67</definedName>
    <definedName name="lapTps">'Workings'!$B$68</definedName>
    <definedName name="peakTpsH">'Workings'!$B$71</definedName>
    <definedName name="replicasH">'Workings'!$B$72</definedName>
    <definedName name="gpusH">'Workings'!$B$73</definedName>
    <definedName name="hostsH">'Workings'!$B$74</definedName>
    <definedName name="fleetTpsH">'Workings'!$B$75</definedName>
    <definedName name="hosts">'Workings'!$B$78</definedName>
    <definedName name="cardsCost">'Workings'!$B$79</definedName>
    <definedName name="sparesCost">'Workings'!$B$80</definedName>
    <definedName name="chassisCost">'Workings'!$B$81</definedName>
    <definedName name="fabricCost">'Workings'!$B$82</definedName>
    <definedName name="installCost">'Workings'!$B$83</definedName>
    <definedName name="hwCapex">'Workings'!$B$84</definedName>
    <definedName name="setupHours">'Workings'!$B$85</definedName>
    <definedName name="setupLabour">'Workings'!$B$86</definedName>
    <definedName name="buyUpfront">'Workings'!$B$87</definedName>
    <definedName name="warrantyMo">'Workings'!$B$88</definedName>
    <definedName name="rentSetup">'Workings'!$B$89</definedName>
    <definedName name="teamRamp">'Workings'!$B$90</definedName>
    <definedName name="platformMo">'Workings'!$B$91</definedName>
    <definedName name="adminMo">'Workings'!$B$92</definedName>
    <definedName name="cloudOpsMo">'Workings'!$B$93</definedName>
    <definedName name="fleetKw">'Workings'!$B$94</definedName>
    <definedName name="storMo">'Workings'!$B$95</definedName>
    <definedName name="hKw">'Workings'!$B$98</definedName>
    <definedName name="hHwCapex">'Workings'!$B$99</definedName>
    <definedName name="hybridFleetCapex">'Workings'!$B$100</definedName>
    <definedName name="hybridFleetPower">'Workings'!$B$101</definedName>
    <definedName name="hybridRentMo">'Workings'!$B$102</definedName>
    <definedName name="hybridBuyTotal">'Workings'!$B$103</definedName>
    <definedName name="hybridRentTotal">'Workings'!$B$104</definedName>
    <definedName name="hybridBuy">'Workings'!$B$105</definedName>
    <definedName name="r_id">'Workings'!$X$110:$X$119</definedName>
    <definedName name="r_name">'Workings'!$A$110:$A$119</definedName>
    <definedName name="r_rank">'Workings'!$W$110:$W$119</definedName>
    <definedName name="r_all">'Workings'!$A$110:$W$119</definedName>
    <definedName name="r_total">'Workings'!$H$110:$H$119</definedName>
    <definedName name="cheapestHosted">'Workings'!$B$123</definedName>
    <definedName name="cheapestOwn">'Workings'!$B$124</definedName>
    <definedName name="codingSpend">'Workings'!$B$125</definedName>
    <definedName name="qualityBudget">'Workings'!$B$126</definedName>
    <definedName name="qualityPct">'Workings'!$B$127</definedName>
    <definedName name="dragPct">'Workings'!$B$128</definedName>
    <definedName name="planFitCost">'Workings'!$B$142</definedName>
    <definedName name="planFitName">'Workings'!$B$143</definedName>
    <definedName name="planFitTeam">'Workings'!$B$144</definedName>
    <definedName name="scale_devs">'Scale'!$C$5:$N$5</definedName>
    <definedName name="cat_routes">'Workings'!$A$110:$A$119</definedName>
    <definedName name="be_devs">'Scale'!$C$61</definedName>
    <definedName name="_xlnm.Print_Area" localSheetId="0">'Answer'!$A$1:$J$40</definedName>
    <definedName name="_xlnm.Print_Area" localSheetId="1">'Inputs'!$A$1:$E$132</definedName>
    <definedName name="_xlnm.Print_Area" localSheetId="2">'Models'!$A$1:$Q$28</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quot;-&quot;"/>
    <numFmt numFmtId="167" formatCode="$#,##0.00;($#,##0.00);&quot;-&quot;"/>
    <numFmt numFmtId="168" formatCode="0.00&quot;x&quot;"/>
  </numFmts>
  <fonts count="23">
    <font>
      <name val="Calibri"/>
      <family val="2"/>
      <color theme="1"/>
      <sz val="11"/>
      <scheme val="minor"/>
    </font>
    <font>
      <name val="Arial"/>
      <b val="1"/>
      <color rgb="001F3A5F"/>
      <sz val="16"/>
    </font>
    <font>
      <name val="Arial"/>
      <color rgb="006B7280"/>
      <sz val="9"/>
    </font>
    <font>
      <name val="Arial"/>
      <color rgb="001A1A1A"/>
      <sz val="10"/>
    </font>
    <font>
      <name val="Arial"/>
      <b val="1"/>
      <color rgb="00FFFFFF"/>
      <sz val="9"/>
    </font>
    <font>
      <name val="Arial"/>
      <b val="1"/>
      <color rgb="006B7280"/>
      <sz val="9"/>
    </font>
    <font>
      <name val="Arial"/>
      <color rgb="001A1A1A"/>
      <sz val="9"/>
    </font>
    <font>
      <name val="Arial"/>
      <i val="1"/>
      <color rgb="006B7280"/>
      <sz val="8"/>
    </font>
    <font>
      <name val="Arial"/>
      <b val="1"/>
      <color rgb="000000FF"/>
      <sz val="9"/>
    </font>
    <font>
      <name val="Arial"/>
      <b val="1"/>
      <color rgb="001A1A1A"/>
      <sz val="9"/>
    </font>
    <font>
      <name val="Arial"/>
      <b val="1"/>
      <color rgb="00008000"/>
      <sz val="9"/>
    </font>
    <font>
      <name val="Arial"/>
      <b val="1"/>
      <color rgb="000000FF"/>
      <sz val="10"/>
    </font>
    <font>
      <name val="Arial"/>
      <b val="1"/>
      <color rgb="001A1A1A"/>
      <sz val="10"/>
    </font>
    <font>
      <name val="Arial"/>
      <color rgb="006B7280"/>
      <sz val="8"/>
    </font>
    <font>
      <name val="Arial"/>
      <color rgb="000000FF"/>
      <sz val="10"/>
    </font>
    <font>
      <name val="#,##0.00"/>
    </font>
    <font>
      <name val="Arial"/>
      <b val="1"/>
      <color rgb="001F3A5F"/>
      <sz val="20"/>
    </font>
    <font>
      <name val="Arial"/>
      <b val="1"/>
      <color rgb="006B7280"/>
      <sz val="8"/>
    </font>
    <font>
      <name val="Arial"/>
      <b val="1"/>
      <color rgb="00125EC4"/>
      <sz val="13"/>
    </font>
    <font>
      <name val="Arial"/>
      <b val="1"/>
      <color rgb="00125EC4"/>
      <sz val="10"/>
    </font>
    <font>
      <name val="Arial"/>
      <b val="1"/>
      <color rgb="001A1A1A"/>
      <sz val="11"/>
    </font>
    <font>
      <name val="Arial"/>
      <b val="1"/>
      <color rgb="000000FF"/>
      <sz val="11"/>
    </font>
    <font>
      <name val="Arial"/>
      <b val="1"/>
      <color rgb="00125EC4"/>
      <sz val="11"/>
    </font>
  </fonts>
  <fills count="6">
    <fill>
      <patternFill/>
    </fill>
    <fill>
      <patternFill patternType="gray125"/>
    </fill>
    <fill>
      <patternFill patternType="solid">
        <fgColor rgb="001F3A5F"/>
      </patternFill>
    </fill>
    <fill>
      <patternFill patternType="solid">
        <fgColor rgb="00F4F6F8"/>
      </patternFill>
    </fill>
    <fill>
      <patternFill patternType="solid">
        <fgColor rgb="00FFFDE7"/>
      </patternFill>
    </fill>
    <fill>
      <patternFill patternType="solid">
        <fgColor rgb="00E8F0FB"/>
      </patternFill>
    </fill>
  </fills>
  <borders count="4">
    <border>
      <left/>
      <right/>
      <top/>
      <bottom/>
      <diagonal/>
    </border>
    <border>
      <bottom style="thin">
        <color rgb="00D4D8DE"/>
      </bottom>
    </border>
    <border>
      <left style="thin">
        <color rgb="00D4D8DE"/>
      </left>
      <right style="thin">
        <color rgb="00D4D8DE"/>
      </right>
      <top style="thin">
        <color rgb="00D4D8DE"/>
      </top>
      <bottom style="thin">
        <color rgb="00D4D8DE"/>
      </bottom>
    </border>
    <border>
      <left style="thick">
        <color rgb="00125EC4"/>
      </left>
    </border>
  </borders>
  <cellStyleXfs count="1">
    <xf numFmtId="0" fontId="0" fillId="0" borderId="0"/>
  </cellStyleXfs>
  <cellXfs count="85">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16" fillId="0" borderId="0" applyAlignment="1" pivotButton="0" quotePrefix="0" xfId="0">
      <alignment vertical="center" wrapText="1"/>
    </xf>
    <xf numFmtId="0" fontId="3" fillId="0" borderId="0" applyAlignment="1" pivotButton="0" quotePrefix="0" xfId="0">
      <alignment vertical="center" wrapText="1"/>
    </xf>
    <xf numFmtId="0" fontId="17" fillId="0" borderId="3" pivotButton="0" quotePrefix="0" xfId="0"/>
    <xf numFmtId="0" fontId="18" fillId="0" borderId="3" applyAlignment="1" pivotButton="0" quotePrefix="0" xfId="0">
      <alignment vertical="center" wrapText="1"/>
    </xf>
    <xf numFmtId="166" fontId="18" fillId="0" borderId="3" applyAlignment="1" pivotButton="0" quotePrefix="0" xfId="0">
      <alignment vertical="center" wrapText="1"/>
    </xf>
    <xf numFmtId="165" fontId="18" fillId="0" borderId="3" applyAlignment="1" pivotButton="0" quotePrefix="0" xfId="0">
      <alignment vertical="center" wrapText="1"/>
    </xf>
    <xf numFmtId="0" fontId="13" fillId="0" borderId="3" applyAlignment="1" pivotButton="0" quotePrefix="0" xfId="0">
      <alignment vertical="center" wrapText="1"/>
    </xf>
    <xf numFmtId="0" fontId="4" fillId="2" borderId="0" pivotButton="0" quotePrefix="0" xfId="0"/>
    <xf numFmtId="0" fontId="3" fillId="2" borderId="0" pivotButton="0" quotePrefix="0" xfId="0"/>
    <xf numFmtId="0" fontId="5" fillId="0" borderId="1" applyAlignment="1" pivotButton="0" quotePrefix="0" xfId="0">
      <alignment horizontal="right" vertical="center" wrapText="1"/>
    </xf>
    <xf numFmtId="0" fontId="5" fillId="0" borderId="1" applyAlignment="1" pivotButton="0" quotePrefix="0" xfId="0">
      <alignment horizontal="left" vertical="center" wrapText="1"/>
    </xf>
    <xf numFmtId="0" fontId="2" fillId="5" borderId="0" applyAlignment="1" pivotButton="0" quotePrefix="0" xfId="0">
      <alignment horizontal="center" vertical="center"/>
    </xf>
    <xf numFmtId="0" fontId="9" fillId="5" borderId="0" applyAlignment="1" pivotButton="0" quotePrefix="0" xfId="0">
      <alignment horizontal="left" vertical="center"/>
    </xf>
    <xf numFmtId="166" fontId="9" fillId="5" borderId="0" applyAlignment="1" pivotButton="0" quotePrefix="0" xfId="0">
      <alignment horizontal="right" vertical="center"/>
    </xf>
    <xf numFmtId="167" fontId="9" fillId="5" borderId="0" applyAlignment="1" pivotButton="0" quotePrefix="0" xfId="0">
      <alignment horizontal="right" vertical="center"/>
    </xf>
    <xf numFmtId="165" fontId="9" fillId="5" borderId="0" applyAlignment="1" pivotButton="0" quotePrefix="0" xfId="0">
      <alignment horizontal="right" vertical="center"/>
    </xf>
    <xf numFmtId="3" fontId="9" fillId="5" borderId="0" applyAlignment="1" pivotButton="0" quotePrefix="0" xfId="0">
      <alignment horizontal="right" vertical="center"/>
    </xf>
    <xf numFmtId="168" fontId="9" fillId="5" borderId="0" applyAlignment="1" pivotButton="0" quotePrefix="0" xfId="0">
      <alignment horizontal="right" vertical="center"/>
    </xf>
    <xf numFmtId="0" fontId="2" fillId="3" borderId="0" applyAlignment="1" pivotButton="0" quotePrefix="0" xfId="0">
      <alignment horizontal="center" vertical="center"/>
    </xf>
    <xf numFmtId="0" fontId="6" fillId="3" borderId="0" applyAlignment="1" pivotButton="0" quotePrefix="0" xfId="0">
      <alignment horizontal="left" vertical="center"/>
    </xf>
    <xf numFmtId="166" fontId="6" fillId="3" borderId="0" applyAlignment="1" pivotButton="0" quotePrefix="0" xfId="0">
      <alignment horizontal="right" vertical="center"/>
    </xf>
    <xf numFmtId="167" fontId="6" fillId="3" borderId="0" applyAlignment="1" pivotButton="0" quotePrefix="0" xfId="0">
      <alignment horizontal="right" vertical="center"/>
    </xf>
    <xf numFmtId="165" fontId="6" fillId="3" borderId="0" applyAlignment="1" pivotButton="0" quotePrefix="0" xfId="0">
      <alignment horizontal="right" vertical="center"/>
    </xf>
    <xf numFmtId="3" fontId="6" fillId="3" borderId="0" applyAlignment="1" pivotButton="0" quotePrefix="0" xfId="0">
      <alignment horizontal="right" vertical="center"/>
    </xf>
    <xf numFmtId="168" fontId="6" fillId="3" borderId="0" applyAlignment="1" pivotButton="0" quotePrefix="0" xfId="0">
      <alignment horizontal="right" vertical="center"/>
    </xf>
    <xf numFmtId="0" fontId="2" fillId="0" borderId="0" applyAlignment="1" pivotButton="0" quotePrefix="0" xfId="0">
      <alignment horizontal="center" vertical="center"/>
    </xf>
    <xf numFmtId="0" fontId="6" fillId="0" borderId="0" applyAlignment="1" pivotButton="0" quotePrefix="0" xfId="0">
      <alignment horizontal="left" vertical="center"/>
    </xf>
    <xf numFmtId="166" fontId="6" fillId="0" borderId="0" applyAlignment="1" pivotButton="0" quotePrefix="0" xfId="0">
      <alignment horizontal="right" vertical="center"/>
    </xf>
    <xf numFmtId="167" fontId="6" fillId="0" borderId="0" applyAlignment="1" pivotButton="0" quotePrefix="0" xfId="0">
      <alignment horizontal="right" vertical="center"/>
    </xf>
    <xf numFmtId="165" fontId="6" fillId="0" borderId="0" applyAlignment="1" pivotButton="0" quotePrefix="0" xfId="0">
      <alignment horizontal="right" vertical="center"/>
    </xf>
    <xf numFmtId="3" fontId="6" fillId="0" borderId="0" applyAlignment="1" pivotButton="0" quotePrefix="0" xfId="0">
      <alignment horizontal="right" vertical="center"/>
    </xf>
    <xf numFmtId="168" fontId="6" fillId="0" borderId="0" applyAlignment="1" pivotButton="0" quotePrefix="0" xfId="0">
      <alignment horizontal="right" vertical="center"/>
    </xf>
    <xf numFmtId="0" fontId="7" fillId="0" borderId="0" pivotButton="0" quotePrefix="0" xfId="0"/>
    <xf numFmtId="0" fontId="19" fillId="0" borderId="0" applyAlignment="1" pivotButton="0" quotePrefix="0" xfId="0">
      <alignment vertical="center" wrapText="1"/>
    </xf>
    <xf numFmtId="0" fontId="5" fillId="0" borderId="1" pivotButton="0" quotePrefix="0" xfId="0"/>
    <xf numFmtId="0" fontId="6"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12" fillId="0" borderId="0" pivotButton="0" quotePrefix="0" xfId="0"/>
    <xf numFmtId="0" fontId="11" fillId="4" borderId="2" applyAlignment="1" pivotButton="0" quotePrefix="0" xfId="0">
      <alignment horizontal="left" vertical="center"/>
    </xf>
    <xf numFmtId="0" fontId="13" fillId="0" borderId="0" applyAlignment="1" pivotButton="0" quotePrefix="0" xfId="0">
      <alignment vertical="center" wrapText="1"/>
    </xf>
    <xf numFmtId="0" fontId="3" fillId="0" borderId="0" pivotButton="0" quotePrefix="0" xfId="0"/>
    <xf numFmtId="3" fontId="14" fillId="0" borderId="2" applyAlignment="1" pivotButton="0" quotePrefix="0" xfId="0">
      <alignment horizontal="right" vertical="center"/>
    </xf>
    <xf numFmtId="164" fontId="14" fillId="0" borderId="2" applyAlignment="1" pivotButton="0" quotePrefix="0" xfId="0">
      <alignment horizontal="right" vertical="center"/>
    </xf>
    <xf numFmtId="165" fontId="14" fillId="0" borderId="2" applyAlignment="1" pivotButton="0" quotePrefix="0" xfId="0">
      <alignment horizontal="right" vertical="center"/>
    </xf>
    <xf numFmtId="165" fontId="3" fillId="0" borderId="2" applyAlignment="1" pivotButton="0" quotePrefix="0" xfId="0">
      <alignment horizontal="right" vertical="center"/>
    </xf>
    <xf numFmtId="165" fontId="14" fillId="4" borderId="2" applyAlignment="1" pivotButton="0" quotePrefix="0" xfId="0">
      <alignment horizontal="right" vertical="center"/>
    </xf>
    <xf numFmtId="0" fontId="11" fillId="4" borderId="2" applyAlignment="1" pivotButton="0" quotePrefix="0" xfId="0">
      <alignment horizontal="center" vertical="center"/>
    </xf>
    <xf numFmtId="3" fontId="3" fillId="0" borderId="2" applyAlignment="1" pivotButton="0" quotePrefix="0" xfId="0">
      <alignment horizontal="right" vertical="center"/>
    </xf>
    <xf numFmtId="3" fontId="14" fillId="4" borderId="2" applyAlignment="1" pivotButton="0" quotePrefix="0" xfId="0">
      <alignment horizontal="right" vertical="center"/>
    </xf>
    <xf numFmtId="166" fontId="3" fillId="0" borderId="2" applyAlignment="1" pivotButton="0" quotePrefix="0" xfId="0">
      <alignment horizontal="right" vertical="center"/>
    </xf>
    <xf numFmtId="166" fontId="14" fillId="4" borderId="2" applyAlignment="1" pivotButton="0" quotePrefix="0" xfId="0">
      <alignment horizontal="right" vertical="center"/>
    </xf>
    <xf numFmtId="167" fontId="3" fillId="0" borderId="2" applyAlignment="1" pivotButton="0" quotePrefix="0" xfId="0">
      <alignment horizontal="right" vertical="center"/>
    </xf>
    <xf numFmtId="167" fontId="14" fillId="4" borderId="2" applyAlignment="1" pivotButton="0" quotePrefix="0" xfId="0">
      <alignment horizontal="right" vertical="center"/>
    </xf>
    <xf numFmtId="166" fontId="14" fillId="0" borderId="2" applyAlignment="1" pivotButton="0" quotePrefix="0" xfId="0">
      <alignment horizontal="right" vertical="center"/>
    </xf>
    <xf numFmtId="4" fontId="14" fillId="0" borderId="2" applyAlignment="1" pivotButton="0" quotePrefix="0" xfId="0">
      <alignment horizontal="right" vertical="center"/>
    </xf>
    <xf numFmtId="167" fontId="14" fillId="0" borderId="2" applyAlignment="1" pivotButton="0" quotePrefix="0" xfId="0">
      <alignment horizontal="right" vertical="center"/>
    </xf>
    <xf numFmtId="166" fontId="9" fillId="0" borderId="0" applyAlignment="1" pivotButton="0" quotePrefix="0" xfId="0">
      <alignment horizontal="right" vertical="center"/>
    </xf>
    <xf numFmtId="0" fontId="6" fillId="0" borderId="0" applyAlignment="1" pivotButton="0" quotePrefix="0" xfId="0">
      <alignment horizontal="right" vertical="center"/>
    </xf>
    <xf numFmtId="0" fontId="19" fillId="0" borderId="0" pivotButton="0" quotePrefix="0" xfId="0"/>
    <xf numFmtId="0" fontId="20" fillId="0" borderId="0" pivotButton="0" quotePrefix="0" xfId="0"/>
    <xf numFmtId="0" fontId="13" fillId="0" borderId="0" pivotButton="0" quotePrefix="0" xfId="0"/>
    <xf numFmtId="3" fontId="21" fillId="4" borderId="2" applyAlignment="1" pivotButton="0" quotePrefix="0" xfId="0">
      <alignment horizontal="right" vertical="center"/>
    </xf>
    <xf numFmtId="164" fontId="6" fillId="0" borderId="0" applyAlignment="1" pivotButton="0" quotePrefix="0" xfId="0">
      <alignment horizontal="right" vertical="center"/>
    </xf>
    <xf numFmtId="4" fontId="6" fillId="0" borderId="0" applyAlignment="1" pivotButton="0" quotePrefix="0" xfId="0">
      <alignment horizontal="right" vertical="center"/>
    </xf>
    <xf numFmtId="3" fontId="5" fillId="0" borderId="1" applyAlignment="1" pivotButton="0" quotePrefix="0" xfId="0">
      <alignment horizontal="right" vertical="center"/>
    </xf>
    <xf numFmtId="0" fontId="9" fillId="0" borderId="0" applyAlignment="1" pivotButton="0" quotePrefix="0" xfId="0">
      <alignment horizontal="right" vertical="center"/>
    </xf>
    <xf numFmtId="3" fontId="22" fillId="0" borderId="2" applyAlignment="1" pivotButton="0" quotePrefix="0" xfId="0">
      <alignment horizontal="right" vertical="center"/>
    </xf>
    <xf numFmtId="4" fontId="3" fillId="0" borderId="2" applyAlignment="1" pivotButton="0" quotePrefix="0" xfId="0">
      <alignment horizontal="right" vertical="center"/>
    </xf>
    <xf numFmtId="164" fontId="3" fillId="0" borderId="2" applyAlignment="1" pivotButton="0" quotePrefix="0" xfId="0">
      <alignment horizontal="right" vertical="center"/>
    </xf>
    <xf numFmtId="0" fontId="5" fillId="0" borderId="1" applyAlignment="1" pivotButton="0" quotePrefix="0" xfId="0">
      <alignment horizontal="right" vertical="center"/>
    </xf>
    <xf numFmtId="4" fontId="9" fillId="0" borderId="0" applyAlignment="1" pivotButton="0" quotePrefix="0" xfId="0">
      <alignment horizontal="right" vertical="center"/>
    </xf>
    <xf numFmtId="164" fontId="9" fillId="0" borderId="0" applyAlignment="1" pivotButton="0" quotePrefix="0" xfId="0">
      <alignment horizontal="right" vertical="center"/>
    </xf>
    <xf numFmtId="0" fontId="3" fillId="0" borderId="2" applyAlignment="1" pivotButton="0" quotePrefix="0" xfId="0">
      <alignment horizontal="right" vertical="center"/>
    </xf>
    <xf numFmtId="0" fontId="2" fillId="0" borderId="0" applyAlignment="1" pivotButton="0" quotePrefix="0" xfId="0">
      <alignment horizontal="right" vertical="center"/>
    </xf>
    <xf numFmtId="0" fontId="5" fillId="0" borderId="1" applyAlignment="1" pivotButton="0" quotePrefix="0" xfId="0">
      <alignment horizontal="center" vertical="center" wrapText="1"/>
    </xf>
    <xf numFmtId="4" fontId="6" fillId="3" borderId="0" applyAlignment="1" pivotButton="0" quotePrefix="0" xfId="0">
      <alignment horizontal="right" vertical="center"/>
    </xf>
    <xf numFmtId="0" fontId="6" fillId="3" borderId="0" applyAlignment="1" pivotButton="0" quotePrefix="0" xfId="0">
      <alignment horizontal="right" vertical="center"/>
    </xf>
  </cellXfs>
  <cellStyles count="1">
    <cellStyle name="Normal" xfId="0" builtinId="0" hidden="0"/>
  </cellStyles>
  <dxfs count="2">
    <dxf>
      <font>
        <name val="Arial"/>
        <b val="1"/>
        <color rgb="00B42318"/>
        <sz val="9"/>
      </font>
    </dxf>
    <dxf>
      <font>
        <name val="Arial"/>
        <color rgb="000F7B4F"/>
        <sz val="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Monthly cost by where it goes</a:t>
            </a:r>
          </a:p>
        </rich>
      </tx>
    </title>
    <plotArea>
      <barChart>
        <barDir val="bar"/>
        <grouping val="stacked"/>
        <ser>
          <idx val="0"/>
          <order val="0"/>
          <tx>
            <strRef>
              <f>'Answer'!C37</f>
            </strRef>
          </tx>
          <spPr>
            <a:ln>
              <a:prstDash val="solid"/>
            </a:ln>
          </spPr>
          <cat>
            <numRef>
              <f>'Answer'!$B$38:$B$47</f>
            </numRef>
          </cat>
          <val>
            <numRef>
              <f>'Answer'!$C$38:$C$47</f>
            </numRef>
          </val>
        </ser>
        <ser>
          <idx val="1"/>
          <order val="1"/>
          <tx>
            <strRef>
              <f>'Answer'!D37</f>
            </strRef>
          </tx>
          <spPr>
            <a:ln>
              <a:prstDash val="solid"/>
            </a:ln>
          </spPr>
          <cat>
            <numRef>
              <f>'Answer'!$B$38:$B$47</f>
            </numRef>
          </cat>
          <val>
            <numRef>
              <f>'Answer'!$D$38:$D$47</f>
            </numRef>
          </val>
        </ser>
        <ser>
          <idx val="2"/>
          <order val="2"/>
          <tx>
            <strRef>
              <f>'Answer'!E37</f>
            </strRef>
          </tx>
          <spPr>
            <a:ln>
              <a:prstDash val="solid"/>
            </a:ln>
          </spPr>
          <cat>
            <numRef>
              <f>'Answer'!$B$38:$B$47</f>
            </numRef>
          </cat>
          <val>
            <numRef>
              <f>'Answer'!$E$38:$E$47</f>
            </numRef>
          </val>
        </ser>
        <ser>
          <idx val="3"/>
          <order val="3"/>
          <tx>
            <strRef>
              <f>'Answer'!F37</f>
            </strRef>
          </tx>
          <spPr>
            <a:ln>
              <a:prstDash val="solid"/>
            </a:ln>
          </spPr>
          <cat>
            <numRef>
              <f>'Answer'!$B$38:$B$47</f>
            </numRef>
          </cat>
          <val>
            <numRef>
              <f>'Answer'!$F$38:$F$47</f>
            </numRef>
          </val>
        </ser>
        <ser>
          <idx val="4"/>
          <order val="4"/>
          <tx>
            <strRef>
              <f>'Answer'!G37</f>
            </strRef>
          </tx>
          <spPr>
            <a:ln>
              <a:prstDash val="solid"/>
            </a:ln>
          </spPr>
          <cat>
            <numRef>
              <f>'Answer'!$B$38:$B$47</f>
            </numRef>
          </cat>
          <val>
            <numRef>
              <f>'Answer'!$G$38:$G$47</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per month</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Cost per developer per month, by team size</a:t>
            </a:r>
          </a:p>
        </rich>
      </tx>
    </title>
    <plotArea>
      <lineChart>
        <grouping val="standard"/>
        <ser>
          <idx val="0"/>
          <order val="0"/>
          <tx>
            <strRef>
              <f>'Scale'!A40</f>
            </strRef>
          </tx>
          <spPr>
            <a:ln>
              <a:prstDash val="solid"/>
            </a:ln>
          </spPr>
          <marker>
            <symbol val="none"/>
            <spPr>
              <a:ln>
                <a:prstDash val="solid"/>
              </a:ln>
            </spPr>
          </marker>
          <cat>
            <numRef>
              <f>'Scale'!$C$5:$N$5</f>
            </numRef>
          </cat>
          <val>
            <numRef>
              <f>'Scale'!$B$40:$N$40</f>
            </numRef>
          </val>
        </ser>
        <ser>
          <idx val="1"/>
          <order val="1"/>
          <tx>
            <strRef>
              <f>'Scale'!A41</f>
            </strRef>
          </tx>
          <spPr>
            <a:ln>
              <a:prstDash val="solid"/>
            </a:ln>
          </spPr>
          <marker>
            <symbol val="none"/>
            <spPr>
              <a:ln>
                <a:prstDash val="solid"/>
              </a:ln>
            </spPr>
          </marker>
          <cat>
            <numRef>
              <f>'Scale'!$C$5:$N$5</f>
            </numRef>
          </cat>
          <val>
            <numRef>
              <f>'Scale'!$B$41:$N$41</f>
            </numRef>
          </val>
        </ser>
        <ser>
          <idx val="2"/>
          <order val="2"/>
          <tx>
            <strRef>
              <f>'Scale'!A43</f>
            </strRef>
          </tx>
          <spPr>
            <a:ln>
              <a:prstDash val="solid"/>
            </a:ln>
          </spPr>
          <marker>
            <symbol val="none"/>
            <spPr>
              <a:ln>
                <a:prstDash val="solid"/>
              </a:ln>
            </spPr>
          </marker>
          <cat>
            <numRef>
              <f>'Scale'!$C$5:$N$5</f>
            </numRef>
          </cat>
          <val>
            <numRef>
              <f>'Scale'!$B$43:$N$43</f>
            </numRef>
          </val>
        </ser>
        <ser>
          <idx val="3"/>
          <order val="3"/>
          <tx>
            <strRef>
              <f>'Scale'!A46</f>
            </strRef>
          </tx>
          <spPr>
            <a:ln>
              <a:prstDash val="solid"/>
            </a:ln>
          </spPr>
          <marker>
            <symbol val="none"/>
            <spPr>
              <a:ln>
                <a:prstDash val="solid"/>
              </a:ln>
            </spPr>
          </marker>
          <cat>
            <numRef>
              <f>'Scale'!$C$5:$N$5</f>
            </numRef>
          </cat>
          <val>
            <numRef>
              <f>'Scale'!$B$46:$N$46</f>
            </numRef>
          </val>
        </ser>
        <ser>
          <idx val="4"/>
          <order val="4"/>
          <tx>
            <strRef>
              <f>'Scale'!A48</f>
            </strRef>
          </tx>
          <spPr>
            <a:ln>
              <a:prstDash val="solid"/>
            </a:ln>
          </spPr>
          <marker>
            <symbol val="none"/>
            <spPr>
              <a:ln>
                <a:prstDash val="solid"/>
              </a:ln>
            </spPr>
          </marker>
          <cat>
            <numRef>
              <f>'Scale'!$C$5:$N$5</f>
            </numRef>
          </cat>
          <val>
            <numRef>
              <f>'Scale'!$B$48:$N$48</f>
            </numRef>
          </val>
        </ser>
        <ser>
          <idx val="5"/>
          <order val="5"/>
          <tx>
            <strRef>
              <f>'Scale'!A49</f>
            </strRef>
          </tx>
          <spPr>
            <a:ln>
              <a:prstDash val="solid"/>
            </a:ln>
          </spPr>
          <marker>
            <symbol val="none"/>
            <spPr>
              <a:ln>
                <a:prstDash val="solid"/>
              </a:ln>
            </spPr>
          </marker>
          <cat>
            <numRef>
              <f>'Scale'!$C$5:$N$5</f>
            </numRef>
          </cat>
          <val>
            <numRef>
              <f>'Scale'!$B$49:$N$49</f>
            </numRef>
          </val>
        </ser>
        <axId val="10"/>
        <axId val="100"/>
      </lineChart>
      <catAx>
        <axId val="10"/>
        <scaling>
          <orientation val="minMax"/>
        </scaling>
        <axPos val="l"/>
        <title>
          <tx>
            <rich>
              <a:bodyPr/>
              <a:p>
                <a:pPr>
                  <a:defRPr/>
                </a:pPr>
                <a:r>
                  <a:t>Developers</a:t>
                </a:r>
              </a:p>
            </rich>
          </tx>
        </title>
        <majorTickMark val="none"/>
        <minorTickMark val="none"/>
        <crossAx val="100"/>
        <lblOffset val="100"/>
      </catAx>
      <valAx>
        <axId val="100"/>
        <scaling>
          <orientation val="minMax"/>
        </scaling>
        <axPos val="l"/>
        <majorGridlines/>
        <title>
          <tx>
            <rich>
              <a:bodyPr/>
              <a:p>
                <a:pPr>
                  <a:defRPr/>
                </a:pPr>
                <a:r>
                  <a:t>$ / developer / month</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49</row>
      <rowOff>0</rowOff>
    </from>
    <ext cx="936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63</row>
      <rowOff>0</rowOff>
    </from>
    <ext cx="936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F3A5F"/>
    <outlinePr summaryBelow="1" summaryRight="1"/>
    <pageSetUpPr fitToPage="1"/>
  </sheetPr>
  <dimension ref="A1:J47"/>
  <sheetViews>
    <sheetView showGridLines="0" zoomScale="100" workbookViewId="0">
      <pane ySplit="3" topLeftCell="A4" activePane="bottomLeft" state="frozen"/>
      <selection pane="bottomLeft" activeCell="A1" sqref="A1"/>
    </sheetView>
  </sheetViews>
  <sheetFormatPr baseColWidth="8" defaultRowHeight="15"/>
  <cols>
    <col width="4" customWidth="1" min="1" max="1"/>
    <col width="30" customWidth="1" min="2" max="2"/>
    <col width="16" customWidth="1" min="3" max="3"/>
    <col width="14" customWidth="1" min="4" max="4"/>
    <col width="15" customWidth="1" min="5" max="5"/>
    <col width="14" customWidth="1" min="6" max="6"/>
    <col width="13" customWidth="1" min="7" max="7"/>
    <col width="12" customWidth="1" min="8" max="8"/>
    <col width="12" customWidth="1" min="9" max="9"/>
    <col width="13" customWidth="1" min="10" max="10"/>
  </cols>
  <sheetData>
    <row r="1">
      <c r="A1" s="1" t="inlineStr">
        <is>
          <t>The answer</t>
        </is>
      </c>
    </row>
    <row r="2">
      <c r="A2" s="2" t="inlineStr">
        <is>
          <t>Everything here is a formula over Inputs. Change a blue cell there and this page moves.</t>
        </is>
      </c>
    </row>
    <row r="4">
      <c r="B4" s="3" t="inlineStr">
        <is>
          <t>THE RECOMMENDATION</t>
        </is>
      </c>
    </row>
    <row r="5" ht="30" customHeight="1">
      <c r="B5" s="4">
        <f>IF(AND(devs&gt;0,devs&lt;=soloAt),IF(devs=1,"You are one developer. Buy a plan.","A team this small should buy plans."),IF(INDEX(r_id,MATCH(1,r_rank,0))="serverless","Rent the open weights. Do not run them.",IF(INDEX(r_id,MATCH(1,r_rank,0))="hybrid","Run the cheap model first. Escalate what it cannot finish.",IF(OR(INDEX(r_id,MATCH(1,r_rank,0))="laptop",INDEX(r_id,MATCH(1,r_rank,0))="buy",INDEX(r_id,MATCH(1,r_rank,0))="rent"),"Run it on your own hardware.","Rent the model. Do not buy the hardware."))))</f>
        <v/>
      </c>
    </row>
    <row r="6" ht="30" customHeight="1"/>
    <row r="7" ht="15" customHeight="1">
      <c r="B7" s="5">
        <f>IF(AND(devs&gt;0,devs&lt;=soloAt),"The cheapest flat plan that keeps up with a live session is "&amp;planFitName&amp;" at "&amp;TEXT(planFitCost,"$#,##0")&amp;" a developer a month, "&amp;TEXT(planFitTeam,"$#,##0")&amp;" for "&amp;TEXT(devs,"#,##0")&amp;". If your use is bursty a metered key is cheaper still: the open weights on a serverless provider come to "&amp;TEXT(Workings!$H$113,"$#,##0")&amp;" a month at this volume. Nothing here needs a platform team, a rack or a purchase order.",IF(INDEX(r_id,MATCH(1,r_rank,0))="serverless","Someone else already owns a warm fleet of these weights and sells them by the token. At this size that beats both your own accelerators and the frontier rate card, and it carries no capital, no rota and no lead time.",IF(INDEX(r_id,MATCH(1,r_rank,0))="hybrid","Two independent attempts finish more work than either approach alone: only "&amp;TEXT(unres_h,"0%")&amp;" of accepted tasks still need a person, against "&amp;TEXT(unres_f,"0%")&amp;" on the frontier model by itself.",IF(OR(INDEX(r_id,MATCH(1,r_rank,0))="laptop",INDEX(r_id,MATCH(1,r_rank,0))="buy",INDEX(r_id,MATCH(1,r_rank,0))="rent"),"At this size the fleet is cheaper than metered tokens even after the extra attempts the weaker model needs are counted. That advantage is narrow and it depends on quality holding up.","At this team size, owning accelerators costs more than renting tokens, before the weaker output of the open model is even counted."))))</f>
        <v/>
      </c>
    </row>
    <row r="8" ht="15" customHeight="1"/>
    <row r="9" ht="15" customHeight="1"/>
    <row r="11">
      <c r="B11" s="6" t="inlineStr">
        <is>
          <t>Cheapest route</t>
        </is>
      </c>
      <c r="D11" s="6" t="inlineStr">
        <is>
          <t>Bill over the horizon</t>
        </is>
      </c>
      <c r="F11" s="6" t="inlineStr">
        <is>
          <t>Priciest route</t>
        </is>
      </c>
      <c r="H11" s="6" t="inlineStr">
        <is>
          <t>Spread, full term</t>
        </is>
      </c>
      <c r="J11" s="6" t="inlineStr">
        <is>
          <t>Quality budget</t>
        </is>
      </c>
    </row>
    <row r="12" ht="20" customHeight="1">
      <c r="B12" s="7">
        <f>INDEX(r_name,MATCH(1,r_rank,0))</f>
        <v/>
      </c>
      <c r="D12" s="8">
        <f>INDEX(Workings!$K$110:$K$119,MATCH(1,r_rank,0))</f>
        <v/>
      </c>
      <c r="F12" s="7">
        <f>INDEX(r_name,MATCH(10,r_rank,0))</f>
        <v/>
      </c>
      <c r="H12" s="8">
        <f>(INDEX(Workings!$H$110:$H$119,MATCH(10,r_rank,0))-INDEX(Workings!$H$110:$H$119,MATCH(1,r_rank,0)))*horizon</f>
        <v/>
      </c>
      <c r="J12" s="9">
        <f>qualityPct</f>
        <v/>
      </c>
    </row>
    <row r="13" ht="24" customHeight="1">
      <c r="B13" s="10">
        <f>"at "&amp;TEXT(INDEX(Workings!$H$110:$H$119,MATCH(1,r_rank,0)),"$#,##0")&amp;" a month"</f>
        <v/>
      </c>
      <c r="D13" s="10">
        <f>"for "&amp;TEXT(devs,"#,##0")&amp;" developer"&amp;IF(devs=1,"","s")</f>
        <v/>
      </c>
      <c r="F13" s="10">
        <f>"at "&amp;TEXT(INDEX(Workings!$H$110:$H$119,MATCH(10,r_rank,0)),"$#,##0")&amp;" a month"</f>
        <v/>
      </c>
      <c r="H13" s="10">
        <f>"saved by picking first over last"</f>
        <v/>
      </c>
      <c r="J13" s="10">
        <f>"developer time the self-hosted saving buys; your acceptance gap costs "&amp;TEXT(dragPct,"0.0%")</f>
        <v/>
      </c>
    </row>
    <row r="15">
      <c r="A15" s="11" t="inlineStr">
        <is>
          <t>EVERY ROUTE, CHEAPEST FIRST</t>
        </is>
      </c>
      <c r="B15" s="12" t="n"/>
      <c r="C15" s="12" t="n"/>
      <c r="D15" s="12" t="n"/>
      <c r="E15" s="12" t="n"/>
      <c r="F15" s="12" t="n"/>
      <c r="G15" s="12" t="n"/>
      <c r="H15" s="12" t="n"/>
      <c r="I15" s="12" t="n"/>
      <c r="J15" s="12" t="n"/>
    </row>
    <row r="16">
      <c r="A16" s="13" t="inlineStr">
        <is>
          <t>#</t>
        </is>
      </c>
      <c r="B16" s="14" t="inlineStr">
        <is>
          <t>Route</t>
        </is>
      </c>
      <c r="C16" s="13" t="inlineStr">
        <is>
          <t>Monthly</t>
        </is>
      </c>
      <c r="D16" s="13" t="inlineStr">
        <is>
          <t>Up front</t>
        </is>
      </c>
      <c r="E16" s="13" t="inlineStr">
        <is>
          <t>Full term</t>
        </is>
      </c>
      <c r="F16" s="13" t="inlineStr">
        <is>
          <t>Per dev / mo</t>
        </is>
      </c>
      <c r="G16" s="13" t="inlineStr">
        <is>
          <t>AI $ / task</t>
        </is>
      </c>
      <c r="H16" s="13" t="inlineStr">
        <is>
          <t>Unfinished</t>
        </is>
      </c>
      <c r="I16" s="13" t="inlineStr">
        <is>
          <t>Sustained tok/s</t>
        </is>
      </c>
      <c r="J16" s="13" t="inlineStr">
        <is>
          <t>Headroom</t>
        </is>
      </c>
    </row>
    <row r="17">
      <c r="A17" s="15" t="n">
        <v>1</v>
      </c>
      <c r="B17" s="16">
        <f>INDEX(Workings!$A$110:$A$119,MATCH(1,r_rank,0))</f>
        <v/>
      </c>
      <c r="C17" s="17">
        <f>INDEX(Workings!$H$110:$H$119,MATCH(1,r_rank,0))</f>
        <v/>
      </c>
      <c r="D17" s="17">
        <f>INDEX(Workings!$I$110:$I$119,MATCH(1,r_rank,0))</f>
        <v/>
      </c>
      <c r="E17" s="17">
        <f>INDEX(Workings!$K$110:$K$119,MATCH(1,r_rank,0))</f>
        <v/>
      </c>
      <c r="F17" s="17">
        <f>INDEX(Workings!$N$110:$N$119,MATCH(1,r_rank,0))</f>
        <v/>
      </c>
      <c r="G17" s="18">
        <f>INDEX(Workings!$O$110:$O$119,MATCH(1,r_rank,0))</f>
        <v/>
      </c>
      <c r="H17" s="19">
        <f>INDEX(Workings!$P$110:$P$119,MATCH(1,r_rank,0))</f>
        <v/>
      </c>
      <c r="I17" s="20">
        <f>INDEX(Workings!$Q$110:$Q$119,MATCH(1,r_rank,0))</f>
        <v/>
      </c>
      <c r="J17" s="21">
        <f>INDEX(Workings!$V$110:$V$119,MATCH(1,r_rank,0))</f>
        <v/>
      </c>
    </row>
    <row r="18">
      <c r="A18" s="22" t="n">
        <v>2</v>
      </c>
      <c r="B18" s="23">
        <f>INDEX(Workings!$A$110:$A$119,MATCH(2,r_rank,0))</f>
        <v/>
      </c>
      <c r="C18" s="24">
        <f>INDEX(Workings!$H$110:$H$119,MATCH(2,r_rank,0))</f>
        <v/>
      </c>
      <c r="D18" s="24">
        <f>INDEX(Workings!$I$110:$I$119,MATCH(2,r_rank,0))</f>
        <v/>
      </c>
      <c r="E18" s="24">
        <f>INDEX(Workings!$K$110:$K$119,MATCH(2,r_rank,0))</f>
        <v/>
      </c>
      <c r="F18" s="24">
        <f>INDEX(Workings!$N$110:$N$119,MATCH(2,r_rank,0))</f>
        <v/>
      </c>
      <c r="G18" s="25">
        <f>INDEX(Workings!$O$110:$O$119,MATCH(2,r_rank,0))</f>
        <v/>
      </c>
      <c r="H18" s="26">
        <f>INDEX(Workings!$P$110:$P$119,MATCH(2,r_rank,0))</f>
        <v/>
      </c>
      <c r="I18" s="27">
        <f>INDEX(Workings!$Q$110:$Q$119,MATCH(2,r_rank,0))</f>
        <v/>
      </c>
      <c r="J18" s="28">
        <f>INDEX(Workings!$V$110:$V$119,MATCH(2,r_rank,0))</f>
        <v/>
      </c>
    </row>
    <row r="19">
      <c r="A19" s="29" t="n">
        <v>3</v>
      </c>
      <c r="B19" s="30">
        <f>INDEX(Workings!$A$110:$A$119,MATCH(3,r_rank,0))</f>
        <v/>
      </c>
      <c r="C19" s="31">
        <f>INDEX(Workings!$H$110:$H$119,MATCH(3,r_rank,0))</f>
        <v/>
      </c>
      <c r="D19" s="31">
        <f>INDEX(Workings!$I$110:$I$119,MATCH(3,r_rank,0))</f>
        <v/>
      </c>
      <c r="E19" s="31">
        <f>INDEX(Workings!$K$110:$K$119,MATCH(3,r_rank,0))</f>
        <v/>
      </c>
      <c r="F19" s="31">
        <f>INDEX(Workings!$N$110:$N$119,MATCH(3,r_rank,0))</f>
        <v/>
      </c>
      <c r="G19" s="32">
        <f>INDEX(Workings!$O$110:$O$119,MATCH(3,r_rank,0))</f>
        <v/>
      </c>
      <c r="H19" s="33">
        <f>INDEX(Workings!$P$110:$P$119,MATCH(3,r_rank,0))</f>
        <v/>
      </c>
      <c r="I19" s="34">
        <f>INDEX(Workings!$Q$110:$Q$119,MATCH(3,r_rank,0))</f>
        <v/>
      </c>
      <c r="J19" s="35">
        <f>INDEX(Workings!$V$110:$V$119,MATCH(3,r_rank,0))</f>
        <v/>
      </c>
    </row>
    <row r="20">
      <c r="A20" s="22" t="n">
        <v>4</v>
      </c>
      <c r="B20" s="23">
        <f>INDEX(Workings!$A$110:$A$119,MATCH(4,r_rank,0))</f>
        <v/>
      </c>
      <c r="C20" s="24">
        <f>INDEX(Workings!$H$110:$H$119,MATCH(4,r_rank,0))</f>
        <v/>
      </c>
      <c r="D20" s="24">
        <f>INDEX(Workings!$I$110:$I$119,MATCH(4,r_rank,0))</f>
        <v/>
      </c>
      <c r="E20" s="24">
        <f>INDEX(Workings!$K$110:$K$119,MATCH(4,r_rank,0))</f>
        <v/>
      </c>
      <c r="F20" s="24">
        <f>INDEX(Workings!$N$110:$N$119,MATCH(4,r_rank,0))</f>
        <v/>
      </c>
      <c r="G20" s="25">
        <f>INDEX(Workings!$O$110:$O$119,MATCH(4,r_rank,0))</f>
        <v/>
      </c>
      <c r="H20" s="26">
        <f>INDEX(Workings!$P$110:$P$119,MATCH(4,r_rank,0))</f>
        <v/>
      </c>
      <c r="I20" s="27">
        <f>INDEX(Workings!$Q$110:$Q$119,MATCH(4,r_rank,0))</f>
        <v/>
      </c>
      <c r="J20" s="28">
        <f>INDEX(Workings!$V$110:$V$119,MATCH(4,r_rank,0))</f>
        <v/>
      </c>
    </row>
    <row r="21">
      <c r="A21" s="29" t="n">
        <v>5</v>
      </c>
      <c r="B21" s="30">
        <f>INDEX(Workings!$A$110:$A$119,MATCH(5,r_rank,0))</f>
        <v/>
      </c>
      <c r="C21" s="31">
        <f>INDEX(Workings!$H$110:$H$119,MATCH(5,r_rank,0))</f>
        <v/>
      </c>
      <c r="D21" s="31">
        <f>INDEX(Workings!$I$110:$I$119,MATCH(5,r_rank,0))</f>
        <v/>
      </c>
      <c r="E21" s="31">
        <f>INDEX(Workings!$K$110:$K$119,MATCH(5,r_rank,0))</f>
        <v/>
      </c>
      <c r="F21" s="31">
        <f>INDEX(Workings!$N$110:$N$119,MATCH(5,r_rank,0))</f>
        <v/>
      </c>
      <c r="G21" s="32">
        <f>INDEX(Workings!$O$110:$O$119,MATCH(5,r_rank,0))</f>
        <v/>
      </c>
      <c r="H21" s="33">
        <f>INDEX(Workings!$P$110:$P$119,MATCH(5,r_rank,0))</f>
        <v/>
      </c>
      <c r="I21" s="34">
        <f>INDEX(Workings!$Q$110:$Q$119,MATCH(5,r_rank,0))</f>
        <v/>
      </c>
      <c r="J21" s="35">
        <f>INDEX(Workings!$V$110:$V$119,MATCH(5,r_rank,0))</f>
        <v/>
      </c>
    </row>
    <row r="22">
      <c r="A22" s="22" t="n">
        <v>6</v>
      </c>
      <c r="B22" s="23">
        <f>INDEX(Workings!$A$110:$A$119,MATCH(6,r_rank,0))</f>
        <v/>
      </c>
      <c r="C22" s="24">
        <f>INDEX(Workings!$H$110:$H$119,MATCH(6,r_rank,0))</f>
        <v/>
      </c>
      <c r="D22" s="24">
        <f>INDEX(Workings!$I$110:$I$119,MATCH(6,r_rank,0))</f>
        <v/>
      </c>
      <c r="E22" s="24">
        <f>INDEX(Workings!$K$110:$K$119,MATCH(6,r_rank,0))</f>
        <v/>
      </c>
      <c r="F22" s="24">
        <f>INDEX(Workings!$N$110:$N$119,MATCH(6,r_rank,0))</f>
        <v/>
      </c>
      <c r="G22" s="25">
        <f>INDEX(Workings!$O$110:$O$119,MATCH(6,r_rank,0))</f>
        <v/>
      </c>
      <c r="H22" s="26">
        <f>INDEX(Workings!$P$110:$P$119,MATCH(6,r_rank,0))</f>
        <v/>
      </c>
      <c r="I22" s="27">
        <f>INDEX(Workings!$Q$110:$Q$119,MATCH(6,r_rank,0))</f>
        <v/>
      </c>
      <c r="J22" s="28">
        <f>INDEX(Workings!$V$110:$V$119,MATCH(6,r_rank,0))</f>
        <v/>
      </c>
    </row>
    <row r="23">
      <c r="A23" s="29" t="n">
        <v>7</v>
      </c>
      <c r="B23" s="30">
        <f>INDEX(Workings!$A$110:$A$119,MATCH(7,r_rank,0))</f>
        <v/>
      </c>
      <c r="C23" s="31">
        <f>INDEX(Workings!$H$110:$H$119,MATCH(7,r_rank,0))</f>
        <v/>
      </c>
      <c r="D23" s="31">
        <f>INDEX(Workings!$I$110:$I$119,MATCH(7,r_rank,0))</f>
        <v/>
      </c>
      <c r="E23" s="31">
        <f>INDEX(Workings!$K$110:$K$119,MATCH(7,r_rank,0))</f>
        <v/>
      </c>
      <c r="F23" s="31">
        <f>INDEX(Workings!$N$110:$N$119,MATCH(7,r_rank,0))</f>
        <v/>
      </c>
      <c r="G23" s="32">
        <f>INDEX(Workings!$O$110:$O$119,MATCH(7,r_rank,0))</f>
        <v/>
      </c>
      <c r="H23" s="33">
        <f>INDEX(Workings!$P$110:$P$119,MATCH(7,r_rank,0))</f>
        <v/>
      </c>
      <c r="I23" s="34">
        <f>INDEX(Workings!$Q$110:$Q$119,MATCH(7,r_rank,0))</f>
        <v/>
      </c>
      <c r="J23" s="35">
        <f>INDEX(Workings!$V$110:$V$119,MATCH(7,r_rank,0))</f>
        <v/>
      </c>
    </row>
    <row r="24">
      <c r="A24" s="22" t="n">
        <v>8</v>
      </c>
      <c r="B24" s="23">
        <f>INDEX(Workings!$A$110:$A$119,MATCH(8,r_rank,0))</f>
        <v/>
      </c>
      <c r="C24" s="24">
        <f>INDEX(Workings!$H$110:$H$119,MATCH(8,r_rank,0))</f>
        <v/>
      </c>
      <c r="D24" s="24">
        <f>INDEX(Workings!$I$110:$I$119,MATCH(8,r_rank,0))</f>
        <v/>
      </c>
      <c r="E24" s="24">
        <f>INDEX(Workings!$K$110:$K$119,MATCH(8,r_rank,0))</f>
        <v/>
      </c>
      <c r="F24" s="24">
        <f>INDEX(Workings!$N$110:$N$119,MATCH(8,r_rank,0))</f>
        <v/>
      </c>
      <c r="G24" s="25">
        <f>INDEX(Workings!$O$110:$O$119,MATCH(8,r_rank,0))</f>
        <v/>
      </c>
      <c r="H24" s="26">
        <f>INDEX(Workings!$P$110:$P$119,MATCH(8,r_rank,0))</f>
        <v/>
      </c>
      <c r="I24" s="27">
        <f>INDEX(Workings!$Q$110:$Q$119,MATCH(8,r_rank,0))</f>
        <v/>
      </c>
      <c r="J24" s="28">
        <f>INDEX(Workings!$V$110:$V$119,MATCH(8,r_rank,0))</f>
        <v/>
      </c>
    </row>
    <row r="25">
      <c r="A25" s="29" t="n">
        <v>9</v>
      </c>
      <c r="B25" s="30">
        <f>INDEX(Workings!$A$110:$A$119,MATCH(9,r_rank,0))</f>
        <v/>
      </c>
      <c r="C25" s="31">
        <f>INDEX(Workings!$H$110:$H$119,MATCH(9,r_rank,0))</f>
        <v/>
      </c>
      <c r="D25" s="31">
        <f>INDEX(Workings!$I$110:$I$119,MATCH(9,r_rank,0))</f>
        <v/>
      </c>
      <c r="E25" s="31">
        <f>INDEX(Workings!$K$110:$K$119,MATCH(9,r_rank,0))</f>
        <v/>
      </c>
      <c r="F25" s="31">
        <f>INDEX(Workings!$N$110:$N$119,MATCH(9,r_rank,0))</f>
        <v/>
      </c>
      <c r="G25" s="32">
        <f>INDEX(Workings!$O$110:$O$119,MATCH(9,r_rank,0))</f>
        <v/>
      </c>
      <c r="H25" s="33">
        <f>INDEX(Workings!$P$110:$P$119,MATCH(9,r_rank,0))</f>
        <v/>
      </c>
      <c r="I25" s="34">
        <f>INDEX(Workings!$Q$110:$Q$119,MATCH(9,r_rank,0))</f>
        <v/>
      </c>
      <c r="J25" s="35">
        <f>INDEX(Workings!$V$110:$V$119,MATCH(9,r_rank,0))</f>
        <v/>
      </c>
    </row>
    <row r="26">
      <c r="A26" s="22" t="n">
        <v>10</v>
      </c>
      <c r="B26" s="23">
        <f>INDEX(Workings!$A$110:$A$119,MATCH(10,r_rank,0))</f>
        <v/>
      </c>
      <c r="C26" s="24">
        <f>INDEX(Workings!$H$110:$H$119,MATCH(10,r_rank,0))</f>
        <v/>
      </c>
      <c r="D26" s="24">
        <f>INDEX(Workings!$I$110:$I$119,MATCH(10,r_rank,0))</f>
        <v/>
      </c>
      <c r="E26" s="24">
        <f>INDEX(Workings!$K$110:$K$119,MATCH(10,r_rank,0))</f>
        <v/>
      </c>
      <c r="F26" s="24">
        <f>INDEX(Workings!$N$110:$N$119,MATCH(10,r_rank,0))</f>
        <v/>
      </c>
      <c r="G26" s="25">
        <f>INDEX(Workings!$O$110:$O$119,MATCH(10,r_rank,0))</f>
        <v/>
      </c>
      <c r="H26" s="26">
        <f>INDEX(Workings!$P$110:$P$119,MATCH(10,r_rank,0))</f>
        <v/>
      </c>
      <c r="I26" s="27">
        <f>INDEX(Workings!$Q$110:$Q$119,MATCH(10,r_rank,0))</f>
        <v/>
      </c>
      <c r="J26" s="28">
        <f>INDEX(Workings!$V$110:$V$119,MATCH(10,r_rank,0))</f>
        <v/>
      </c>
    </row>
    <row r="27">
      <c r="B27" s="36" t="inlineStr">
        <is>
          <t>Headroom below 1.0x means the route throttles and your developers queue. Laptops and per-seat plans scale one unit per developer, so their headroom is one unit against one session, not a shared pool.</t>
        </is>
      </c>
    </row>
    <row r="29">
      <c r="A29" s="11" t="inlineStr">
        <is>
          <t>WHAT WOULD CHANGE THIS ANSWER</t>
        </is>
      </c>
      <c r="B29" s="12" t="n"/>
      <c r="C29" s="12" t="n"/>
      <c r="D29" s="12" t="n"/>
      <c r="E29" s="12" t="n"/>
      <c r="F29" s="12" t="n"/>
      <c r="G29" s="12" t="n"/>
      <c r="H29" s="12" t="n"/>
      <c r="I29" s="12" t="n"/>
      <c r="J29" s="12" t="n"/>
    </row>
    <row r="30" ht="16" customHeight="1">
      <c r="B30" s="5">
        <f>"We judge the open model purely on infrastructure, quality set aside"</f>
        <v/>
      </c>
      <c r="F30" s="37">
        <f>IF(be_devs&gt;0,"Owning accelerators wins above "&amp;TEXT(be_devs,"#,##0")&amp;" developers","Owning still never wins")</f>
        <v/>
      </c>
    </row>
    <row r="31" ht="16" customHeight="1">
      <c r="B31" s="5">
        <f>"We count the work the agent cannot finish at all"</f>
        <v/>
      </c>
      <c r="F31" s="37">
        <f>IF(countFallback="Yes","Already counted - it is in the numbers above","Turn it on in Inputs; it usually moves the ranking")</f>
        <v/>
      </c>
    </row>
    <row r="32" ht="16" customHeight="1">
      <c r="B32" s="5">
        <f>"Code may not leave our own network"</f>
        <v/>
      </c>
      <c r="F32" s="37">
        <f>"Cost stops being the question"</f>
        <v/>
      </c>
    </row>
    <row r="33" ht="16" customHeight="1">
      <c r="B33" s="5">
        <f>"We just want one price per developer, with no surprises"</f>
        <v/>
      </c>
      <c r="F33" s="37">
        <f>planFitName&amp;" at "&amp;TEXT(planFitTeam,"$#,##0")&amp;" a month"</f>
        <v/>
      </c>
    </row>
    <row r="34" ht="16" customHeight="1">
      <c r="B34" s="5">
        <f>"We need every developer served at once, without queueing"</f>
        <v/>
      </c>
      <c r="F34" s="37">
        <f>IF(INDEX(Workings!$V$110:$V$119,MATCH(1,r_rank,0))&lt;1,"The cheapest route throttles at "&amp;TEXT(INDEX(Workings!$V$110:$V$119,MATCH(1,r_rank,0)),"0.0")&amp;"x","The cheapest route keeps up")</f>
        <v/>
      </c>
    </row>
    <row r="36">
      <c r="B36" s="3" t="inlineStr">
        <is>
          <t>Chart data - monthly cost by where it goes</t>
        </is>
      </c>
    </row>
    <row r="37">
      <c r="B37" s="38" t="inlineStr">
        <is>
          <t>Route</t>
        </is>
      </c>
      <c r="C37" s="13" t="inlineStr">
        <is>
          <t>Hardware, written down</t>
        </is>
      </c>
      <c r="D37" s="13" t="inlineStr">
        <is>
          <t>Power, rack and storage</t>
        </is>
      </c>
      <c r="E37" s="13" t="inlineStr">
        <is>
          <t>People to run it</t>
        </is>
      </c>
      <c r="F37" s="13" t="inlineStr">
        <is>
          <t>Tokens, seats and rent</t>
        </is>
      </c>
      <c r="G37" s="13" t="inlineStr">
        <is>
          <t>Developer time lost</t>
        </is>
      </c>
    </row>
    <row r="38">
      <c r="B38" s="39">
        <f>INDEX(Workings!$A$110:$A$119,MATCH(1,r_rank,0))</f>
        <v/>
      </c>
      <c r="C38" s="31">
        <f>INDEX(Workings!$C$110:$C$119,MATCH(1,r_rank,0))</f>
        <v/>
      </c>
      <c r="D38" s="31">
        <f>INDEX(Workings!$D$110:$D$119,MATCH(1,r_rank,0))</f>
        <v/>
      </c>
      <c r="E38" s="31">
        <f>INDEX(Workings!$E$110:$E$119,MATCH(1,r_rank,0))</f>
        <v/>
      </c>
      <c r="F38" s="31">
        <f>INDEX(Workings!$F$110:$F$119,MATCH(1,r_rank,0))</f>
        <v/>
      </c>
      <c r="G38" s="31">
        <f>INDEX(Workings!$G$110:$G$119,MATCH(1,r_rank,0))</f>
        <v/>
      </c>
    </row>
    <row r="39">
      <c r="B39" s="39">
        <f>INDEX(Workings!$A$110:$A$119,MATCH(2,r_rank,0))</f>
        <v/>
      </c>
      <c r="C39" s="31">
        <f>INDEX(Workings!$C$110:$C$119,MATCH(2,r_rank,0))</f>
        <v/>
      </c>
      <c r="D39" s="31">
        <f>INDEX(Workings!$D$110:$D$119,MATCH(2,r_rank,0))</f>
        <v/>
      </c>
      <c r="E39" s="31">
        <f>INDEX(Workings!$E$110:$E$119,MATCH(2,r_rank,0))</f>
        <v/>
      </c>
      <c r="F39" s="31">
        <f>INDEX(Workings!$F$110:$F$119,MATCH(2,r_rank,0))</f>
        <v/>
      </c>
      <c r="G39" s="31">
        <f>INDEX(Workings!$G$110:$G$119,MATCH(2,r_rank,0))</f>
        <v/>
      </c>
    </row>
    <row r="40">
      <c r="B40" s="39">
        <f>INDEX(Workings!$A$110:$A$119,MATCH(3,r_rank,0))</f>
        <v/>
      </c>
      <c r="C40" s="31">
        <f>INDEX(Workings!$C$110:$C$119,MATCH(3,r_rank,0))</f>
        <v/>
      </c>
      <c r="D40" s="31">
        <f>INDEX(Workings!$D$110:$D$119,MATCH(3,r_rank,0))</f>
        <v/>
      </c>
      <c r="E40" s="31">
        <f>INDEX(Workings!$E$110:$E$119,MATCH(3,r_rank,0))</f>
        <v/>
      </c>
      <c r="F40" s="31">
        <f>INDEX(Workings!$F$110:$F$119,MATCH(3,r_rank,0))</f>
        <v/>
      </c>
      <c r="G40" s="31">
        <f>INDEX(Workings!$G$110:$G$119,MATCH(3,r_rank,0))</f>
        <v/>
      </c>
    </row>
    <row r="41">
      <c r="B41" s="39">
        <f>INDEX(Workings!$A$110:$A$119,MATCH(4,r_rank,0))</f>
        <v/>
      </c>
      <c r="C41" s="31">
        <f>INDEX(Workings!$C$110:$C$119,MATCH(4,r_rank,0))</f>
        <v/>
      </c>
      <c r="D41" s="31">
        <f>INDEX(Workings!$D$110:$D$119,MATCH(4,r_rank,0))</f>
        <v/>
      </c>
      <c r="E41" s="31">
        <f>INDEX(Workings!$E$110:$E$119,MATCH(4,r_rank,0))</f>
        <v/>
      </c>
      <c r="F41" s="31">
        <f>INDEX(Workings!$F$110:$F$119,MATCH(4,r_rank,0))</f>
        <v/>
      </c>
      <c r="G41" s="31">
        <f>INDEX(Workings!$G$110:$G$119,MATCH(4,r_rank,0))</f>
        <v/>
      </c>
    </row>
    <row r="42">
      <c r="B42" s="39">
        <f>INDEX(Workings!$A$110:$A$119,MATCH(5,r_rank,0))</f>
        <v/>
      </c>
      <c r="C42" s="31">
        <f>INDEX(Workings!$C$110:$C$119,MATCH(5,r_rank,0))</f>
        <v/>
      </c>
      <c r="D42" s="31">
        <f>INDEX(Workings!$D$110:$D$119,MATCH(5,r_rank,0))</f>
        <v/>
      </c>
      <c r="E42" s="31">
        <f>INDEX(Workings!$E$110:$E$119,MATCH(5,r_rank,0))</f>
        <v/>
      </c>
      <c r="F42" s="31">
        <f>INDEX(Workings!$F$110:$F$119,MATCH(5,r_rank,0))</f>
        <v/>
      </c>
      <c r="G42" s="31">
        <f>INDEX(Workings!$G$110:$G$119,MATCH(5,r_rank,0))</f>
        <v/>
      </c>
    </row>
    <row r="43">
      <c r="B43" s="39">
        <f>INDEX(Workings!$A$110:$A$119,MATCH(6,r_rank,0))</f>
        <v/>
      </c>
      <c r="C43" s="31">
        <f>INDEX(Workings!$C$110:$C$119,MATCH(6,r_rank,0))</f>
        <v/>
      </c>
      <c r="D43" s="31">
        <f>INDEX(Workings!$D$110:$D$119,MATCH(6,r_rank,0))</f>
        <v/>
      </c>
      <c r="E43" s="31">
        <f>INDEX(Workings!$E$110:$E$119,MATCH(6,r_rank,0))</f>
        <v/>
      </c>
      <c r="F43" s="31">
        <f>INDEX(Workings!$F$110:$F$119,MATCH(6,r_rank,0))</f>
        <v/>
      </c>
      <c r="G43" s="31">
        <f>INDEX(Workings!$G$110:$G$119,MATCH(6,r_rank,0))</f>
        <v/>
      </c>
    </row>
    <row r="44">
      <c r="B44" s="39">
        <f>INDEX(Workings!$A$110:$A$119,MATCH(7,r_rank,0))</f>
        <v/>
      </c>
      <c r="C44" s="31">
        <f>INDEX(Workings!$C$110:$C$119,MATCH(7,r_rank,0))</f>
        <v/>
      </c>
      <c r="D44" s="31">
        <f>INDEX(Workings!$D$110:$D$119,MATCH(7,r_rank,0))</f>
        <v/>
      </c>
      <c r="E44" s="31">
        <f>INDEX(Workings!$E$110:$E$119,MATCH(7,r_rank,0))</f>
        <v/>
      </c>
      <c r="F44" s="31">
        <f>INDEX(Workings!$F$110:$F$119,MATCH(7,r_rank,0))</f>
        <v/>
      </c>
      <c r="G44" s="31">
        <f>INDEX(Workings!$G$110:$G$119,MATCH(7,r_rank,0))</f>
        <v/>
      </c>
    </row>
    <row r="45">
      <c r="B45" s="39">
        <f>INDEX(Workings!$A$110:$A$119,MATCH(8,r_rank,0))</f>
        <v/>
      </c>
      <c r="C45" s="31">
        <f>INDEX(Workings!$C$110:$C$119,MATCH(8,r_rank,0))</f>
        <v/>
      </c>
      <c r="D45" s="31">
        <f>INDEX(Workings!$D$110:$D$119,MATCH(8,r_rank,0))</f>
        <v/>
      </c>
      <c r="E45" s="31">
        <f>INDEX(Workings!$E$110:$E$119,MATCH(8,r_rank,0))</f>
        <v/>
      </c>
      <c r="F45" s="31">
        <f>INDEX(Workings!$F$110:$F$119,MATCH(8,r_rank,0))</f>
        <v/>
      </c>
      <c r="G45" s="31">
        <f>INDEX(Workings!$G$110:$G$119,MATCH(8,r_rank,0))</f>
        <v/>
      </c>
    </row>
    <row r="46">
      <c r="B46" s="39">
        <f>INDEX(Workings!$A$110:$A$119,MATCH(9,r_rank,0))</f>
        <v/>
      </c>
      <c r="C46" s="31">
        <f>INDEX(Workings!$C$110:$C$119,MATCH(9,r_rank,0))</f>
        <v/>
      </c>
      <c r="D46" s="31">
        <f>INDEX(Workings!$D$110:$D$119,MATCH(9,r_rank,0))</f>
        <v/>
      </c>
      <c r="E46" s="31">
        <f>INDEX(Workings!$E$110:$E$119,MATCH(9,r_rank,0))</f>
        <v/>
      </c>
      <c r="F46" s="31">
        <f>INDEX(Workings!$F$110:$F$119,MATCH(9,r_rank,0))</f>
        <v/>
      </c>
      <c r="G46" s="31">
        <f>INDEX(Workings!$G$110:$G$119,MATCH(9,r_rank,0))</f>
        <v/>
      </c>
    </row>
    <row r="47">
      <c r="B47" s="39">
        <f>INDEX(Workings!$A$110:$A$119,MATCH(10,r_rank,0))</f>
        <v/>
      </c>
      <c r="C47" s="31">
        <f>INDEX(Workings!$C$110:$C$119,MATCH(10,r_rank,0))</f>
        <v/>
      </c>
      <c r="D47" s="31">
        <f>INDEX(Workings!$D$110:$D$119,MATCH(10,r_rank,0))</f>
        <v/>
      </c>
      <c r="E47" s="31">
        <f>INDEX(Workings!$E$110:$E$119,MATCH(10,r_rank,0))</f>
        <v/>
      </c>
      <c r="F47" s="31">
        <f>INDEX(Workings!$F$110:$F$119,MATCH(10,r_rank,0))</f>
        <v/>
      </c>
      <c r="G47" s="31">
        <f>INDEX(Workings!$G$110:$G$119,MATCH(10,r_rank,0))</f>
        <v/>
      </c>
    </row>
  </sheetData>
  <mergeCells count="12">
    <mergeCell ref="B31:E31"/>
    <mergeCell ref="F30:J30"/>
    <mergeCell ref="B7:J9"/>
    <mergeCell ref="B5:J6"/>
    <mergeCell ref="F34:J34"/>
    <mergeCell ref="B30:E30"/>
    <mergeCell ref="B33:E33"/>
    <mergeCell ref="F33:J33"/>
    <mergeCell ref="F31:J31"/>
    <mergeCell ref="B34:E34"/>
    <mergeCell ref="F32:J32"/>
    <mergeCell ref="B32:E32"/>
  </mergeCells>
  <conditionalFormatting sqref="C17:C26">
    <cfRule type="dataBar" priority="1">
      <dataBar showValue="1">
        <cfvo type="num" val="0"/>
        <cfvo type="max"/>
        <color rgb="00125EC4"/>
      </dataBar>
    </cfRule>
  </conditionalFormatting>
  <conditionalFormatting sqref="J17:J26">
    <cfRule type="cellIs" priority="2" operator="lessThan" dxfId="0">
      <formula>1</formula>
    </cfRule>
    <cfRule type="cellIs" priority="3" operator="greaterThanOrEqual" dxfId="1">
      <formula>1.5</formula>
    </cfRule>
  </conditionalFormatting>
  <pageMargins left="0.4" right="0.4" top="0.5" bottom="0.5" header="0.5" footer="0.5"/>
  <pageSetup orientation="landscape" fitToHeight="0" fitToWidth="1"/>
  <headerFooter>
    <oddHeader/>
    <oddFooter>&amp;LCoding assistant TCO - offline edition&amp;RPage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25EC4"/>
    <outlinePr summaryBelow="1" summaryRight="1"/>
    <pageSetUpPr fitToPage="1"/>
  </sheetPr>
  <dimension ref="A1:E131"/>
  <sheetViews>
    <sheetView showGridLines="0" workbookViewId="0">
      <pane ySplit="3" topLeftCell="A4" activePane="bottomLeft" state="frozen"/>
      <selection pane="bottomLeft" activeCell="A1" sqref="A1"/>
    </sheetView>
  </sheetViews>
  <sheetFormatPr baseColWidth="8" defaultRowHeight="15"/>
  <cols>
    <col width="42" customWidth="1" min="1" max="1"/>
    <col width="15" customWidth="1" min="2" max="2"/>
    <col width="13" customWidth="1" min="3" max="3"/>
    <col width="14" customWidth="1" min="4" max="4"/>
    <col width="74" customWidth="1" min="5" max="5"/>
  </cols>
  <sheetData>
    <row r="1">
      <c r="A1" s="1" t="inlineStr">
        <is>
          <t>Coding assistant - three-year cost of ownership</t>
        </is>
      </c>
    </row>
    <row r="2">
      <c r="A2" s="2" t="inlineStr">
        <is>
          <t>Offline edition. Change the blue cells; every other sheet recalculates. No macros, no add-ins, nothing to enable.</t>
        </is>
      </c>
    </row>
    <row r="4">
      <c r="A4" s="40" t="inlineStr">
        <is>
          <t>Blue cells</t>
        </is>
      </c>
      <c r="B4" s="2" t="inlineStr">
        <is>
          <t>yours to change - these are the only cells you need to touch</t>
        </is>
      </c>
    </row>
    <row r="5">
      <c r="A5" s="40" t="inlineStr">
        <is>
          <t>Override column</t>
        </is>
      </c>
      <c r="B5" s="2" t="inlineStr">
        <is>
          <t>leave blank to use the catalogue; type a number to beat it</t>
        </is>
      </c>
    </row>
    <row r="6">
      <c r="A6" s="41" t="inlineStr">
        <is>
          <t>Black cells</t>
        </is>
      </c>
      <c r="B6" s="2" t="inlineStr">
        <is>
          <t>formulas - they recalculate, do not type over them</t>
        </is>
      </c>
    </row>
    <row r="7">
      <c r="A7" s="42" t="inlineStr">
        <is>
          <t>Answer tab</t>
        </is>
      </c>
      <c r="B7" s="2" t="inlineStr">
        <is>
          <t>the recommendation, the ranking and the chart</t>
        </is>
      </c>
    </row>
    <row r="9">
      <c r="A9" s="11" t="inlineStr">
        <is>
          <t>THE THREE CHOICES THAT DECIDE EVERYTHING ELSE</t>
        </is>
      </c>
      <c r="B9" s="12" t="n"/>
      <c r="C9" s="12" t="n"/>
      <c r="D9" s="12" t="n"/>
      <c r="E9" s="12" t="n"/>
    </row>
    <row r="10">
      <c r="A10" s="43" t="inlineStr">
        <is>
          <t>Assumption</t>
        </is>
      </c>
      <c r="B10" s="44" t="inlineStr">
        <is>
          <t>Value</t>
        </is>
      </c>
      <c r="C10" s="44" t="inlineStr">
        <is>
          <t>Unit</t>
        </is>
      </c>
      <c r="D10" s="44" t="inlineStr">
        <is>
          <t>Override</t>
        </is>
      </c>
      <c r="E10" s="43" t="inlineStr">
        <is>
          <t>Where it comes from</t>
        </is>
      </c>
    </row>
    <row r="11">
      <c r="A11" s="45" t="inlineStr">
        <is>
          <t>Open-weight model</t>
        </is>
      </c>
      <c r="B11" s="46" t="inlineStr">
        <is>
          <t>gpt-oss 120B-A5.1B</t>
        </is>
      </c>
      <c r="E11" s="47" t="inlineStr">
        <is>
          <t>Which weights you would host yourself. Drives memory, fleet size and storage.</t>
        </is>
      </c>
    </row>
    <row r="12">
      <c r="A12" s="45" t="inlineStr">
        <is>
          <t>Weight precision</t>
        </is>
      </c>
      <c r="B12" s="46" t="inlineStr">
        <is>
          <t>FP8 / INT8</t>
        </is>
      </c>
      <c r="E12" s="47" t="inlineStr">
        <is>
          <t>How hard you squeeze the weights. Halving the bytes halves the memory and roughly doubles decode speed.</t>
        </is>
      </c>
    </row>
    <row r="13">
      <c r="A13" s="45" t="inlineStr">
        <is>
          <t>Accelerator</t>
        </is>
      </c>
      <c r="B13" s="46" t="inlineStr">
        <is>
          <t>H100 80GB SXM</t>
        </is>
      </c>
      <c r="E13" s="47" t="inlineStr">
        <is>
          <t>The card you would buy or rent.</t>
        </is>
      </c>
    </row>
    <row r="14">
      <c r="A14" s="45" t="inlineStr">
        <is>
          <t>Flat per-seat plan</t>
        </is>
      </c>
      <c r="B14" s="46" t="inlineStr">
        <is>
          <t>Cursor Premium - team</t>
        </is>
      </c>
      <c r="E14" s="47" t="inlineStr">
        <is>
          <t>Which subscription the per-seat route prices. Individual plans are in this list too.</t>
        </is>
      </c>
    </row>
    <row r="15">
      <c r="A15" s="45" t="inlineStr">
        <is>
          <t>Effectiveness profile</t>
        </is>
      </c>
      <c r="B15" s="46" t="inlineStr">
        <is>
          <t>Observed - mid-range of published results</t>
        </is>
      </c>
      <c r="E15" s="47" t="inlineStr">
        <is>
          <t>How well the models actually do. This is the single biggest lever in the whole model.</t>
        </is>
      </c>
    </row>
    <row r="17">
      <c r="A17" s="11" t="inlineStr">
        <is>
          <t>TEAM AND WORKLOAD</t>
        </is>
      </c>
      <c r="B17" s="12" t="n"/>
      <c r="C17" s="12" t="n"/>
      <c r="D17" s="12" t="n"/>
      <c r="E17" s="12" t="n"/>
    </row>
    <row r="18">
      <c r="A18" s="43" t="inlineStr">
        <is>
          <t>Assumption</t>
        </is>
      </c>
      <c r="B18" s="44" t="inlineStr">
        <is>
          <t>Value</t>
        </is>
      </c>
      <c r="C18" s="44" t="inlineStr">
        <is>
          <t>Unit</t>
        </is>
      </c>
      <c r="D18" s="44" t="inlineStr">
        <is>
          <t>Override</t>
        </is>
      </c>
      <c r="E18" s="43" t="inlineStr">
        <is>
          <t>Where it comes from</t>
        </is>
      </c>
    </row>
    <row r="19">
      <c r="A19" s="48" t="inlineStr">
        <is>
          <t>Developers</t>
        </is>
      </c>
      <c r="B19" s="49" t="n">
        <v>60</v>
      </c>
      <c r="C19" s="2" t="inlineStr"/>
      <c r="E19" s="47" t="inlineStr">
        <is>
          <t>Everyone who would hold a licence or a session.</t>
        </is>
      </c>
    </row>
    <row r="20">
      <c r="A20" s="48" t="inlineStr">
        <is>
          <t>Working days</t>
        </is>
      </c>
      <c r="B20" s="49" t="n">
        <v>21</v>
      </c>
      <c r="C20" s="2" t="inlineStr">
        <is>
          <t>/ mo</t>
        </is>
      </c>
      <c r="E20" s="47" t="inlineStr"/>
    </row>
    <row r="21">
      <c r="A21" s="48" t="inlineStr">
        <is>
          <t>Input tokens / dev / day</t>
        </is>
      </c>
      <c r="B21" s="50" t="n">
        <v>10</v>
      </c>
      <c r="C21" s="2" t="inlineStr">
        <is>
          <t>M</t>
        </is>
      </c>
      <c r="E21" s="47" t="inlineStr">
        <is>
          <t>Agentic coding is input-heavy: the repo, the diff and the tool output go in on every turn.</t>
        </is>
      </c>
    </row>
    <row r="22">
      <c r="A22" s="48" t="inlineStr">
        <is>
          <t>Output tokens / dev / day</t>
        </is>
      </c>
      <c r="B22" s="49" t="n">
        <v>300</v>
      </c>
      <c r="C22" s="2" t="inlineStr">
        <is>
          <t>k</t>
        </is>
      </c>
      <c r="E22" s="47" t="inlineStr">
        <is>
          <t>Output is what the accelerators actually spend their time on.</t>
        </is>
      </c>
    </row>
    <row r="23">
      <c r="A23" s="48" t="inlineStr">
        <is>
          <t>Input served from cache</t>
        </is>
      </c>
      <c r="B23" s="51" t="n">
        <v>0.75</v>
      </c>
      <c r="C23" s="2" t="inlineStr">
        <is>
          <t>%</t>
        </is>
      </c>
      <c r="E23" s="47" t="inlineStr">
        <is>
          <t>Prompt caching is the largest single discount on any metered route.</t>
        </is>
      </c>
    </row>
    <row r="24">
      <c r="A24" s="48" t="inlineStr">
        <is>
          <t>Hours in the tool / dev / day</t>
        </is>
      </c>
      <c r="B24" s="50" t="n">
        <v>5</v>
      </c>
      <c r="C24" s="2" t="inlineStr">
        <is>
          <t>h</t>
        </is>
      </c>
      <c r="E24" s="47" t="inlineStr"/>
    </row>
    <row r="26">
      <c r="A26" s="11" t="inlineStr">
        <is>
          <t>EFFECTIVENESS - THE FAILURE PATH, NOT JUST FIRST PASS</t>
        </is>
      </c>
      <c r="B26" s="12" t="n"/>
      <c r="C26" s="12" t="n"/>
      <c r="D26" s="12" t="n"/>
      <c r="E26" s="12" t="n"/>
    </row>
    <row r="27">
      <c r="A27" s="43" t="inlineStr">
        <is>
          <t>Assumption</t>
        </is>
      </c>
      <c r="B27" s="44" t="inlineStr">
        <is>
          <t>Value</t>
        </is>
      </c>
      <c r="C27" s="44" t="inlineStr">
        <is>
          <t>Unit</t>
        </is>
      </c>
      <c r="D27" s="44" t="inlineStr">
        <is>
          <t>Override</t>
        </is>
      </c>
      <c r="E27" s="43" t="inlineStr">
        <is>
          <t>Where it comes from</t>
        </is>
      </c>
    </row>
    <row r="28">
      <c r="A28" s="48" t="inlineStr">
        <is>
          <t>Frontier first-pass acceptance</t>
        </is>
      </c>
      <c r="B28" s="52">
        <f>IF($D$28&lt;&gt;"",$D$28,INDEX(tbl_profiles,MATCH(sel_profile,cat_profiles,0),2))</f>
        <v/>
      </c>
      <c r="C28" s="2" t="inlineStr">
        <is>
          <t>%</t>
        </is>
      </c>
      <c r="D28" s="53" t="n"/>
      <c r="E28" s="47" t="inlineStr">
        <is>
          <t>Share of tasks the frontier model gets right first time.</t>
        </is>
      </c>
    </row>
    <row r="29">
      <c r="A29" s="48" t="inlineStr">
        <is>
          <t>Open first-pass acceptance</t>
        </is>
      </c>
      <c r="B29" s="52">
        <f>IF($D$29&lt;&gt;"",$D$29,INDEX(tbl_profiles,MATCH(sel_profile,cat_profiles,0),3))</f>
        <v/>
      </c>
      <c r="C29" s="2" t="inlineStr">
        <is>
          <t>%</t>
        </is>
      </c>
      <c r="D29" s="53" t="n"/>
      <c r="E29" s="47" t="inlineStr">
        <is>
          <t>The same for the open model you would host. The gap between these two rows is the whole argument.</t>
        </is>
      </c>
    </row>
    <row r="30">
      <c r="A30" s="48" t="inlineStr">
        <is>
          <t>Frontier repair success</t>
        </is>
      </c>
      <c r="B30" s="52">
        <f>IF($D$30&lt;&gt;"",$D$30,INDEX(tbl_profiles,MATCH(sel_profile,cat_profiles,0),4))</f>
        <v/>
      </c>
      <c r="C30" s="2" t="inlineStr">
        <is>
          <t>%</t>
        </is>
      </c>
      <c r="D30" s="53" t="n"/>
      <c r="E30" s="47" t="inlineStr">
        <is>
          <t>A repair pass is worse than the first: the easy wins are already gone.</t>
        </is>
      </c>
    </row>
    <row r="31">
      <c r="A31" s="48" t="inlineStr">
        <is>
          <t>Open repair success</t>
        </is>
      </c>
      <c r="B31" s="52">
        <f>IF($D$31&lt;&gt;"",$D$31,INDEX(tbl_profiles,MATCH(sel_profile,cat_profiles,0),5))</f>
        <v/>
      </c>
      <c r="C31" s="2" t="inlineStr">
        <is>
          <t>%</t>
        </is>
      </c>
      <c r="D31" s="53" t="n"/>
      <c r="E31" s="47" t="inlineStr"/>
    </row>
    <row r="32">
      <c r="A32" s="48" t="inlineStr">
        <is>
          <t>Frontier never solves</t>
        </is>
      </c>
      <c r="B32" s="52">
        <f>IF($D$32&lt;&gt;"",$D$32,INDEX(tbl_profiles,MATCH(sel_profile,cat_profiles,0),6))</f>
        <v/>
      </c>
      <c r="C32" s="2" t="inlineStr">
        <is>
          <t>%</t>
        </is>
      </c>
      <c r="D32" s="53" t="n"/>
      <c r="E32" s="47" t="inlineStr">
        <is>
          <t>Share no number of retries will clear. Retries are spent on these too, which is why retry budgets cost money.</t>
        </is>
      </c>
    </row>
    <row r="33">
      <c r="A33" s="48" t="inlineStr">
        <is>
          <t>Open never solves</t>
        </is>
      </c>
      <c r="B33" s="52">
        <f>IF($D$33&lt;&gt;"",$D$33,INDEX(tbl_profiles,MATCH(sel_profile,cat_profiles,0),7))</f>
        <v/>
      </c>
      <c r="C33" s="2" t="inlineStr">
        <is>
          <t>%</t>
        </is>
      </c>
      <c r="D33" s="53" t="n"/>
      <c r="E33" s="47" t="inlineStr"/>
    </row>
    <row r="34">
      <c r="A34" s="48" t="inlineStr">
        <is>
          <t>Accepted tasks / dev / day</t>
        </is>
      </c>
      <c r="B34" s="49" t="n">
        <v>5</v>
      </c>
      <c r="C34" s="2" t="inlineStr"/>
      <c r="E34" s="47" t="inlineStr">
        <is>
          <t>Held constant across routes, which is what makes cost per accepted task comparable.</t>
        </is>
      </c>
    </row>
    <row r="35">
      <c r="A35" s="48" t="inlineStr">
        <is>
          <t>Developer minutes per attempt</t>
        </is>
      </c>
      <c r="B35" s="49" t="n">
        <v>8</v>
      </c>
      <c r="C35" s="2" t="inlineStr">
        <is>
          <t>min</t>
        </is>
      </c>
      <c r="E35" s="47" t="inlineStr">
        <is>
          <t>Prompting, waiting, reading the diff.</t>
        </is>
      </c>
    </row>
    <row r="36">
      <c r="A36" s="48" t="inlineStr">
        <is>
          <t>Repair attempts before giving up</t>
        </is>
      </c>
      <c r="B36" s="49" t="n">
        <v>2</v>
      </c>
      <c r="C36" s="2" t="inlineStr"/>
      <c r="E36" s="47" t="inlineStr"/>
    </row>
    <row r="37">
      <c r="A37" s="48" t="inlineStr">
        <is>
          <t>Minutes to write it by hand</t>
        </is>
      </c>
      <c r="B37" s="49" t="n">
        <v>45</v>
      </c>
      <c r="C37" s="2" t="inlineStr">
        <is>
          <t>min</t>
        </is>
      </c>
      <c r="E37" s="47" t="inlineStr"/>
    </row>
    <row r="38">
      <c r="A38" s="48" t="inlineStr">
        <is>
          <t>Cost the tasks the agent cannot finish</t>
        </is>
      </c>
      <c r="B38" s="54" t="inlineStr">
        <is>
          <t>No</t>
        </is>
      </c>
      <c r="E38" s="47" t="inlineStr">
        <is>
          <t>Yes charges the human time to finish what the agent abandoned. It usually changes the ranking.</t>
        </is>
      </c>
    </row>
    <row r="40">
      <c r="A40" s="11" t="inlineStr">
        <is>
          <t>SERVING AND SIZING</t>
        </is>
      </c>
      <c r="B40" s="12" t="n"/>
      <c r="C40" s="12" t="n"/>
      <c r="D40" s="12" t="n"/>
      <c r="E40" s="12" t="n"/>
    </row>
    <row r="41">
      <c r="A41" s="43" t="inlineStr">
        <is>
          <t>Assumption</t>
        </is>
      </c>
      <c r="B41" s="44" t="inlineStr">
        <is>
          <t>Value</t>
        </is>
      </c>
      <c r="C41" s="44" t="inlineStr">
        <is>
          <t>Unit</t>
        </is>
      </c>
      <c r="D41" s="44" t="inlineStr">
        <is>
          <t>Override</t>
        </is>
      </c>
      <c r="E41" s="43" t="inlineStr">
        <is>
          <t>Where it comes from</t>
        </is>
      </c>
    </row>
    <row r="42">
      <c r="A42" s="48" t="inlineStr">
        <is>
          <t>Live context per request</t>
        </is>
      </c>
      <c r="B42" s="49" t="n">
        <v>64</v>
      </c>
      <c r="C42" s="2" t="inlineStr">
        <is>
          <t>k tok</t>
        </is>
      </c>
      <c r="E42" s="47" t="inlineStr">
        <is>
          <t>Drives the KV cache, which is often larger than people expect.</t>
        </is>
      </c>
    </row>
    <row r="43">
      <c r="A43" s="48" t="inlineStr">
        <is>
          <t>Concurrent requests / replica</t>
        </is>
      </c>
      <c r="B43" s="49" t="n">
        <v>16</v>
      </c>
      <c r="C43" s="2" t="inlineStr"/>
      <c r="E43" s="47" t="inlineStr"/>
    </row>
    <row r="44">
      <c r="A44" s="48" t="inlineStr">
        <is>
          <t>Bandwidth efficiency</t>
        </is>
      </c>
      <c r="B44" s="51" t="n">
        <v>0.65</v>
      </c>
      <c r="C44" s="2" t="inlineStr">
        <is>
          <t>%</t>
        </is>
      </c>
      <c r="E44" s="47" t="inlineStr">
        <is>
          <t>How much of the card's paper bandwidth a real serving stack reaches.</t>
        </is>
      </c>
    </row>
    <row r="45">
      <c r="A45" s="48" t="inlineStr">
        <is>
          <t>Single-stream ceiling</t>
        </is>
      </c>
      <c r="B45" s="49" t="n">
        <v>250</v>
      </c>
      <c r="C45" s="2" t="inlineStr">
        <is>
          <t>tok/s</t>
        </is>
      </c>
      <c r="E45" s="47" t="inlineStr">
        <is>
          <t>Kernel launches, attention and sampling cap one stream far below the weights-read limit.</t>
        </is>
      </c>
    </row>
    <row r="46">
      <c r="A46" s="48" t="inlineStr">
        <is>
          <t>Checkpoints kept on disk</t>
        </is>
      </c>
      <c r="B46" s="49" t="n">
        <v>3</v>
      </c>
      <c r="C46" s="2" t="inlineStr"/>
      <c r="E46" s="47" t="inlineStr"/>
    </row>
    <row r="47">
      <c r="A47" s="48" t="inlineStr">
        <is>
          <t>Developers with a live session</t>
        </is>
      </c>
      <c r="B47" s="51" t="n">
        <v>0.6</v>
      </c>
      <c r="C47" s="2" t="inlineStr">
        <is>
          <t>%</t>
        </is>
      </c>
      <c r="E47" s="47" t="inlineStr"/>
    </row>
    <row r="48">
      <c r="A48" s="48" t="inlineStr">
        <is>
          <t>Busy hours / day</t>
        </is>
      </c>
      <c r="B48" s="49" t="n">
        <v>8</v>
      </c>
      <c r="C48" s="2" t="inlineStr">
        <is>
          <t>h</t>
        </is>
      </c>
      <c r="E48" s="47" t="inlineStr"/>
    </row>
    <row r="49">
      <c r="A49" s="48" t="inlineStr">
        <is>
          <t>Peak-to-average</t>
        </is>
      </c>
      <c r="B49" s="50" t="n">
        <v>2</v>
      </c>
      <c r="C49" s="2" t="inlineStr">
        <is>
          <t>x</t>
        </is>
      </c>
      <c r="E49" s="47" t="inlineStr">
        <is>
          <t>The fleet is sized on the busy hour, not the daily average.</t>
        </is>
      </c>
    </row>
    <row r="50">
      <c r="A50" s="48" t="inlineStr">
        <is>
          <t>Accelerators per node</t>
        </is>
      </c>
      <c r="B50" s="49" t="n">
        <v>8</v>
      </c>
      <c r="C50" s="2" t="inlineStr"/>
      <c r="E50" s="47" t="inlineStr"/>
    </row>
    <row r="51">
      <c r="A51" s="48" t="inlineStr">
        <is>
          <t>Multi-node interconnect loss</t>
        </is>
      </c>
      <c r="B51" s="51" t="n">
        <v>0.2</v>
      </c>
      <c r="C51" s="2" t="inlineStr">
        <is>
          <t>%</t>
        </is>
      </c>
      <c r="E51" s="47" t="inlineStr">
        <is>
          <t>Crossing a node boundary costs real throughput: the fabric between nodes is far slower than the one inside.</t>
        </is>
      </c>
    </row>
    <row r="52">
      <c r="A52" s="48" t="inlineStr">
        <is>
          <t>Laptop memory bandwidth</t>
        </is>
      </c>
      <c r="B52" s="49" t="n">
        <v>546</v>
      </c>
      <c r="C52" s="2" t="inlineStr">
        <is>
          <t>GB/s</t>
        </is>
      </c>
      <c r="E52" s="47" t="inlineStr">
        <is>
          <t>A high-end workstation laptop with unified memory.</t>
        </is>
      </c>
    </row>
    <row r="53">
      <c r="A53" s="48" t="inlineStr">
        <is>
          <t>Laptop unified memory</t>
        </is>
      </c>
      <c r="B53" s="49" t="n">
        <v>128</v>
      </c>
      <c r="C53" s="2" t="inlineStr">
        <is>
          <t>GB</t>
        </is>
      </c>
      <c r="E53" s="47" t="inlineStr"/>
    </row>
    <row r="55">
      <c r="A55" s="11" t="inlineStr">
        <is>
          <t>ACCELERATOR</t>
        </is>
      </c>
      <c r="B55" s="12" t="n"/>
      <c r="C55" s="12" t="n"/>
      <c r="D55" s="12" t="n"/>
      <c r="E55" s="12" t="n"/>
    </row>
    <row r="56">
      <c r="A56" s="43" t="inlineStr">
        <is>
          <t>Assumption</t>
        </is>
      </c>
      <c r="B56" s="44" t="inlineStr">
        <is>
          <t>Value</t>
        </is>
      </c>
      <c r="C56" s="44" t="inlineStr">
        <is>
          <t>Unit</t>
        </is>
      </c>
      <c r="D56" s="44" t="inlineStr">
        <is>
          <t>Override</t>
        </is>
      </c>
      <c r="E56" s="43" t="inlineStr">
        <is>
          <t>Where it comes from</t>
        </is>
      </c>
    </row>
    <row r="57">
      <c r="A57" s="48" t="inlineStr">
        <is>
          <t>Memory / card</t>
        </is>
      </c>
      <c r="B57" s="55">
        <f>IF($D$57&lt;&gt;"",$D$57,INDEX(tbl_gpus,MATCH(sel_gpu,cat_gpus,0),2))</f>
        <v/>
      </c>
      <c r="C57" s="2" t="inlineStr">
        <is>
          <t>GB</t>
        </is>
      </c>
      <c r="D57" s="56" t="n"/>
      <c r="E57" s="47" t="inlineStr"/>
    </row>
    <row r="58">
      <c r="A58" s="48" t="inlineStr">
        <is>
          <t>Memory bandwidth</t>
        </is>
      </c>
      <c r="B58" s="55">
        <f>IF($D$58&lt;&gt;"",$D$58,INDEX(tbl_gpus,MATCH(sel_gpu,cat_gpus,0),3))</f>
        <v/>
      </c>
      <c r="C58" s="2" t="inlineStr">
        <is>
          <t>GB/s</t>
        </is>
      </c>
      <c r="D58" s="56" t="n"/>
      <c r="E58" s="47" t="inlineStr">
        <is>
          <t>Decode is bandwidth bound, so this sets throughput.</t>
        </is>
      </c>
    </row>
    <row r="59">
      <c r="A59" s="48" t="inlineStr">
        <is>
          <t>Dense compute</t>
        </is>
      </c>
      <c r="B59" s="55">
        <f>IF($D$59&lt;&gt;"",$D$59,INDEX(tbl_gpus,MATCH(sel_gpu,cat_gpus,0),4))</f>
        <v/>
      </c>
      <c r="C59" s="2" t="inlineStr">
        <is>
          <t>TFLOPS</t>
        </is>
      </c>
      <c r="D59" s="56" t="n"/>
      <c r="E59" s="47" t="inlineStr">
        <is>
          <t>Prefill is compute bound, so this sets time to first token.</t>
        </is>
      </c>
    </row>
    <row r="60">
      <c r="A60" s="48" t="inlineStr">
        <is>
          <t>Purchase price / card</t>
        </is>
      </c>
      <c r="B60" s="57">
        <f>IF($D$60&lt;&gt;"",$D$60,INDEX(tbl_gpus,MATCH(sel_gpu,cat_gpus,0),5))</f>
        <v/>
      </c>
      <c r="C60" s="2" t="inlineStr">
        <is>
          <t>$</t>
        </is>
      </c>
      <c r="D60" s="58" t="n"/>
      <c r="E60" s="47" t="inlineStr"/>
    </row>
    <row r="61">
      <c r="A61" s="48" t="inlineStr">
        <is>
          <t>On-demand rent / card</t>
        </is>
      </c>
      <c r="B61" s="59">
        <f>IF($D$61&lt;&gt;"",$D$61,INDEX(tbl_gpus,MATCH(sel_gpu,cat_gpus,0),6))</f>
        <v/>
      </c>
      <c r="C61" s="2" t="inlineStr">
        <is>
          <t>$/h</t>
        </is>
      </c>
      <c r="D61" s="60" t="n"/>
      <c r="E61" s="47" t="inlineStr"/>
    </row>
    <row r="62">
      <c r="A62" s="48" t="inlineStr">
        <is>
          <t>Card draw</t>
        </is>
      </c>
      <c r="B62" s="55">
        <f>IF($D$62&lt;&gt;"",$D$62,INDEX(tbl_gpus,MATCH(sel_gpu,cat_gpus,0),7))</f>
        <v/>
      </c>
      <c r="C62" s="2" t="inlineStr">
        <is>
          <t>W</t>
        </is>
      </c>
      <c r="D62" s="56" t="n"/>
      <c r="E62" s="47" t="inlineStr"/>
    </row>
    <row r="63">
      <c r="A63" s="48" t="inlineStr">
        <is>
          <t>Host, NIC, fabric / 8 cards</t>
        </is>
      </c>
      <c r="B63" s="61" t="n">
        <v>45000</v>
      </c>
      <c r="C63" s="2" t="inlineStr">
        <is>
          <t>$</t>
        </is>
      </c>
      <c r="E63" s="47" t="inlineStr"/>
    </row>
    <row r="64">
      <c r="A64" s="48" t="inlineStr">
        <is>
          <t>Rented fleet uptime</t>
        </is>
      </c>
      <c r="B64" s="51" t="n">
        <v>0.7</v>
      </c>
      <c r="C64" s="2" t="inlineStr">
        <is>
          <t>%</t>
        </is>
      </c>
      <c r="E64" s="47" t="inlineStr">
        <is>
          <t>Rented cards bill by the hour whether they are busy or idle.</t>
        </is>
      </c>
    </row>
    <row r="66">
      <c r="A66" s="11" t="inlineStr">
        <is>
          <t>FACILITY AND LAPTOPS</t>
        </is>
      </c>
      <c r="B66" s="12" t="n"/>
      <c r="C66" s="12" t="n"/>
      <c r="D66" s="12" t="n"/>
      <c r="E66" s="12" t="n"/>
    </row>
    <row r="67">
      <c r="A67" s="43" t="inlineStr">
        <is>
          <t>Assumption</t>
        </is>
      </c>
      <c r="B67" s="44" t="inlineStr">
        <is>
          <t>Value</t>
        </is>
      </c>
      <c r="C67" s="44" t="inlineStr">
        <is>
          <t>Unit</t>
        </is>
      </c>
      <c r="D67" s="44" t="inlineStr">
        <is>
          <t>Override</t>
        </is>
      </c>
      <c r="E67" s="43" t="inlineStr">
        <is>
          <t>Where it comes from</t>
        </is>
      </c>
    </row>
    <row r="68">
      <c r="A68" s="48" t="inlineStr">
        <is>
          <t>Datacentre PUE</t>
        </is>
      </c>
      <c r="B68" s="62" t="n">
        <v>1.4</v>
      </c>
      <c r="C68" s="2" t="inlineStr">
        <is>
          <t>x</t>
        </is>
      </c>
      <c r="E68" s="47" t="inlineStr">
        <is>
          <t>Power drawn per watt delivered to the card.</t>
        </is>
      </c>
    </row>
    <row r="69">
      <c r="A69" s="48" t="inlineStr">
        <is>
          <t>Datacentre electricity</t>
        </is>
      </c>
      <c r="B69" s="63" t="n">
        <v>0.1</v>
      </c>
      <c r="C69" s="2" t="inlineStr">
        <is>
          <t>$/kWh</t>
        </is>
      </c>
      <c r="E69" s="47" t="inlineStr"/>
    </row>
    <row r="70">
      <c r="A70" s="48" t="inlineStr">
        <is>
          <t>Rack space and cooling</t>
        </is>
      </c>
      <c r="B70" s="61" t="n">
        <v>200</v>
      </c>
      <c r="C70" s="2" t="inlineStr">
        <is>
          <t>$/kW/mo</t>
        </is>
      </c>
      <c r="E70" s="47" t="inlineStr"/>
    </row>
    <row r="71">
      <c r="A71" s="48" t="inlineStr">
        <is>
          <t>Model storage</t>
        </is>
      </c>
      <c r="B71" s="63" t="n">
        <v>0.08</v>
      </c>
      <c r="C71" s="2" t="inlineStr">
        <is>
          <t>$/GB/mo</t>
        </is>
      </c>
      <c r="E71" s="47" t="inlineStr"/>
    </row>
    <row r="72">
      <c r="A72" s="48" t="inlineStr">
        <is>
          <t>Laptop uplift / dev</t>
        </is>
      </c>
      <c r="B72" s="61" t="n">
        <v>3000</v>
      </c>
      <c r="C72" s="2" t="inlineStr">
        <is>
          <t>$</t>
        </is>
      </c>
      <c r="E72" s="47" t="inlineStr">
        <is>
          <t>What the memory-heavy machine costs over the standard issue.</t>
        </is>
      </c>
    </row>
    <row r="73">
      <c r="A73" s="48" t="inlineStr">
        <is>
          <t>Laptop draw while running</t>
        </is>
      </c>
      <c r="B73" s="49" t="n">
        <v>90</v>
      </c>
      <c r="C73" s="2" t="inlineStr">
        <is>
          <t>W</t>
        </is>
      </c>
      <c r="E73" s="47" t="inlineStr"/>
    </row>
    <row r="74">
      <c r="A74" s="48" t="inlineStr">
        <is>
          <t>Laptop fiddling / dev / yr</t>
        </is>
      </c>
      <c r="B74" s="49" t="n">
        <v>6</v>
      </c>
      <c r="C74" s="2" t="inlineStr">
        <is>
          <t>h</t>
        </is>
      </c>
      <c r="E74" s="47" t="inlineStr"/>
    </row>
    <row r="75">
      <c r="A75" s="48" t="inlineStr">
        <is>
          <t>IT support cost</t>
        </is>
      </c>
      <c r="B75" s="61" t="n">
        <v>75</v>
      </c>
      <c r="C75" s="2" t="inlineStr">
        <is>
          <t>$/h</t>
        </is>
      </c>
      <c r="E75" s="47" t="inlineStr"/>
    </row>
    <row r="76">
      <c r="A76" s="48" t="inlineStr">
        <is>
          <t>Office electricity</t>
        </is>
      </c>
      <c r="B76" s="63" t="n">
        <v>0.14</v>
      </c>
      <c r="C76" s="2" t="inlineStr">
        <is>
          <t>$/kWh</t>
        </is>
      </c>
      <c r="E76" s="47" t="inlineStr"/>
    </row>
    <row r="78">
      <c r="A78" s="11" t="inlineStr">
        <is>
          <t>BUILD AND LABOUR</t>
        </is>
      </c>
      <c r="B78" s="12" t="n"/>
      <c r="C78" s="12" t="n"/>
      <c r="D78" s="12" t="n"/>
      <c r="E78" s="12" t="n"/>
    </row>
    <row r="79">
      <c r="A79" s="43" t="inlineStr">
        <is>
          <t>Assumption</t>
        </is>
      </c>
      <c r="B79" s="44" t="inlineStr">
        <is>
          <t>Value</t>
        </is>
      </c>
      <c r="C79" s="44" t="inlineStr">
        <is>
          <t>Unit</t>
        </is>
      </c>
      <c r="D79" s="44" t="inlineStr">
        <is>
          <t>Override</t>
        </is>
      </c>
      <c r="E79" s="43" t="inlineStr">
        <is>
          <t>Where it comes from</t>
        </is>
      </c>
    </row>
    <row r="80">
      <c r="A80" s="48" t="inlineStr">
        <is>
          <t>Count setup and running labour</t>
        </is>
      </c>
      <c r="B80" s="54" t="inlineStr">
        <is>
          <t>Yes</t>
        </is>
      </c>
      <c r="E80" s="47" t="inlineStr">
        <is>
          <t>No strips every hour of human time out of the comparison. It flatters self-hosting heavily.</t>
        </is>
      </c>
    </row>
    <row r="81">
      <c r="A81" s="48" t="inlineStr">
        <is>
          <t>Fabric, optics and cabling</t>
        </is>
      </c>
      <c r="B81" s="61" t="n">
        <v>12000</v>
      </c>
      <c r="C81" s="2" t="inlineStr">
        <is>
          <t>$/host</t>
        </is>
      </c>
      <c r="E81" s="47" t="inlineStr"/>
    </row>
    <row r="82">
      <c r="A82" s="48" t="inlineStr">
        <is>
          <t>Rack, PDU and smart hands</t>
        </is>
      </c>
      <c r="B82" s="61" t="n">
        <v>3500</v>
      </c>
      <c r="C82" s="2" t="inlineStr">
        <is>
          <t>$/host</t>
        </is>
      </c>
      <c r="E82" s="47" t="inlineStr"/>
    </row>
    <row r="83">
      <c r="A83" s="48" t="inlineStr">
        <is>
          <t>Spare cards held</t>
        </is>
      </c>
      <c r="B83" s="51" t="n">
        <v>0.05</v>
      </c>
      <c r="C83" s="2" t="inlineStr">
        <is>
          <t>% of fleet</t>
        </is>
      </c>
      <c r="E83" s="47" t="inlineStr"/>
    </row>
    <row r="84">
      <c r="A84" s="48" t="inlineStr">
        <is>
          <t>Hardware support</t>
        </is>
      </c>
      <c r="B84" s="51" t="n">
        <v>0.1</v>
      </c>
      <c r="C84" s="2" t="inlineStr">
        <is>
          <t>%/yr of capex</t>
        </is>
      </c>
      <c r="E84" s="47" t="inlineStr"/>
    </row>
    <row r="85">
      <c r="A85" s="48" t="inlineStr">
        <is>
          <t>Architecture and procurement</t>
        </is>
      </c>
      <c r="B85" s="49" t="n">
        <v>80</v>
      </c>
      <c r="C85" s="2" t="inlineStr">
        <is>
          <t>h</t>
        </is>
      </c>
      <c r="E85" s="47" t="inlineStr"/>
    </row>
    <row r="86">
      <c r="A86" s="48" t="inlineStr">
        <is>
          <t>Rack, cable and bring-up</t>
        </is>
      </c>
      <c r="B86" s="49" t="n">
        <v>60</v>
      </c>
      <c r="C86" s="2" t="inlineStr">
        <is>
          <t>h/host</t>
        </is>
      </c>
      <c r="E86" s="47" t="inlineStr"/>
    </row>
    <row r="87">
      <c r="A87" s="48" t="inlineStr">
        <is>
          <t>Serving stack and cluster</t>
        </is>
      </c>
      <c r="B87" s="49" t="n">
        <v>120</v>
      </c>
      <c r="C87" s="2" t="inlineStr">
        <is>
          <t>h</t>
        </is>
      </c>
      <c r="E87" s="47" t="inlineStr"/>
    </row>
    <row r="88">
      <c r="A88" s="48" t="inlineStr">
        <is>
          <t>Model evaluation</t>
        </is>
      </c>
      <c r="B88" s="49" t="n">
        <v>80</v>
      </c>
      <c r="C88" s="2" t="inlineStr">
        <is>
          <t>h</t>
        </is>
      </c>
      <c r="E88" s="47" t="inlineStr"/>
    </row>
    <row r="89">
      <c r="A89" s="48" t="inlineStr">
        <is>
          <t>Security and compliance review</t>
        </is>
      </c>
      <c r="B89" s="49" t="n">
        <v>60</v>
      </c>
      <c r="C89" s="2" t="inlineStr">
        <is>
          <t>h</t>
        </is>
      </c>
      <c r="E89" s="47" t="inlineStr"/>
    </row>
    <row r="91">
      <c r="A91" s="11" t="inlineStr">
        <is>
          <t>MONEY AND PEOPLE</t>
        </is>
      </c>
      <c r="B91" s="12" t="n"/>
      <c r="C91" s="12" t="n"/>
      <c r="D91" s="12" t="n"/>
      <c r="E91" s="12" t="n"/>
    </row>
    <row r="92">
      <c r="A92" s="43" t="inlineStr">
        <is>
          <t>Assumption</t>
        </is>
      </c>
      <c r="B92" s="44" t="inlineStr">
        <is>
          <t>Value</t>
        </is>
      </c>
      <c r="C92" s="44" t="inlineStr">
        <is>
          <t>Unit</t>
        </is>
      </c>
      <c r="D92" s="44" t="inlineStr">
        <is>
          <t>Override</t>
        </is>
      </c>
      <c r="E92" s="43" t="inlineStr">
        <is>
          <t>Where it comes from</t>
        </is>
      </c>
    </row>
    <row r="93">
      <c r="A93" s="48" t="inlineStr">
        <is>
          <t>Horizon</t>
        </is>
      </c>
      <c r="B93" s="49" t="n">
        <v>36</v>
      </c>
      <c r="C93" s="2" t="inlineStr">
        <is>
          <t>mo</t>
        </is>
      </c>
      <c r="E93" s="47" t="inlineStr"/>
    </row>
    <row r="94">
      <c r="A94" s="48" t="inlineStr">
        <is>
          <t>Hardware write-off</t>
        </is>
      </c>
      <c r="B94" s="49" t="n">
        <v>36</v>
      </c>
      <c r="C94" s="2" t="inlineStr">
        <is>
          <t>mo</t>
        </is>
      </c>
      <c r="E94" s="47" t="inlineStr"/>
    </row>
    <row r="95">
      <c r="A95" s="48" t="inlineStr">
        <is>
          <t>Loaded developer cost</t>
        </is>
      </c>
      <c r="B95" s="61" t="n">
        <v>95</v>
      </c>
      <c r="C95" s="2" t="inlineStr">
        <is>
          <t>$/h</t>
        </is>
      </c>
      <c r="E95" s="47" t="inlineStr"/>
    </row>
    <row r="96">
      <c r="A96" s="48" t="inlineStr">
        <is>
          <t>Loaded platform engineer</t>
        </is>
      </c>
      <c r="B96" s="61" t="n">
        <v>260000</v>
      </c>
      <c r="C96" s="2" t="inlineStr">
        <is>
          <t>$/yr</t>
        </is>
      </c>
      <c r="E96" s="47" t="inlineStr"/>
    </row>
    <row r="97">
      <c r="A97" s="48" t="inlineStr">
        <is>
          <t>Baseline AI platform team</t>
        </is>
      </c>
      <c r="B97" s="62" t="n">
        <v>0.5</v>
      </c>
      <c r="C97" s="2" t="inlineStr">
        <is>
          <t>FTE</t>
        </is>
      </c>
      <c r="E97" s="47" t="inlineStr">
        <is>
          <t>Gateway, secrets, IAM, observability, evals and cost control. Every centralised route pays this, not just the cloud ones.</t>
        </is>
      </c>
    </row>
    <row r="98">
      <c r="A98" s="48" t="inlineStr">
        <is>
          <t>Full platform team at</t>
        </is>
      </c>
      <c r="B98" s="49" t="n">
        <v>20</v>
      </c>
      <c r="C98" s="2" t="inlineStr">
        <is>
          <t>devs</t>
        </is>
      </c>
      <c r="E98" s="47" t="inlineStr">
        <is>
          <t>Staffing ramps with headcount and reaches full strength here. A solo developer does not employ a fifth of an engineer.</t>
        </is>
      </c>
    </row>
    <row r="99">
      <c r="A99" s="48" t="inlineStr">
        <is>
          <t>Small-team advice up to</t>
        </is>
      </c>
      <c r="B99" s="49" t="n">
        <v>3</v>
      </c>
      <c r="C99" s="2" t="inlineStr">
        <is>
          <t>devs</t>
        </is>
      </c>
      <c r="E99" s="47" t="inlineStr">
        <is>
          <t>At or below this the recommendation talks about subscriptions instead of platforms.</t>
        </is>
      </c>
    </row>
    <row r="100">
      <c r="A100" s="48" t="inlineStr">
        <is>
          <t>Platform engineers on the fleet</t>
        </is>
      </c>
      <c r="B100" s="62" t="n">
        <v>0.4</v>
      </c>
      <c r="C100" s="2" t="inlineStr">
        <is>
          <t>FTE</t>
        </is>
      </c>
      <c r="E100" s="47" t="inlineStr"/>
    </row>
    <row r="101">
      <c r="A101" s="48" t="inlineStr">
        <is>
          <t>Cloud plumbing staff</t>
        </is>
      </c>
      <c r="B101" s="62" t="n">
        <v>0.15</v>
      </c>
      <c r="C101" s="2" t="inlineStr">
        <is>
          <t>FTE</t>
        </is>
      </c>
      <c r="E101" s="47" t="inlineStr"/>
    </row>
    <row r="102">
      <c r="A102" s="48" t="inlineStr">
        <is>
          <t>We already run an AI platform</t>
        </is>
      </c>
      <c r="B102" s="54" t="inlineStr">
        <is>
          <t>No</t>
        </is>
      </c>
      <c r="E102" s="47" t="inlineStr">
        <is>
          <t>Yes charges no baseline platform team, because you already pay for it.</t>
        </is>
      </c>
    </row>
    <row r="103">
      <c r="A103" s="48" t="inlineStr">
        <is>
          <t>Negotiated API discount</t>
        </is>
      </c>
      <c r="B103" s="51" t="n">
        <v>0</v>
      </c>
      <c r="C103" s="2" t="inlineStr">
        <is>
          <t>%</t>
        </is>
      </c>
      <c r="E103" s="47" t="inlineStr">
        <is>
          <t>Applies to metered tokens only, never to seats.</t>
        </is>
      </c>
    </row>
    <row r="105">
      <c r="A105" s="11" t="inlineStr">
        <is>
          <t>RATE CARDS</t>
        </is>
      </c>
      <c r="B105" s="12" t="n"/>
      <c r="C105" s="12" t="n"/>
      <c r="D105" s="12" t="n"/>
      <c r="E105" s="12" t="n"/>
    </row>
    <row r="106">
      <c r="A106" s="43" t="inlineStr">
        <is>
          <t>Assumption</t>
        </is>
      </c>
      <c r="B106" s="44" t="inlineStr">
        <is>
          <t>Value</t>
        </is>
      </c>
      <c r="C106" s="44" t="inlineStr">
        <is>
          <t>Unit</t>
        </is>
      </c>
      <c r="D106" s="44" t="inlineStr">
        <is>
          <t>Override</t>
        </is>
      </c>
      <c r="E106" s="43" t="inlineStr">
        <is>
          <t>Where it comes from</t>
        </is>
      </c>
    </row>
    <row r="107">
      <c r="A107" s="48" t="inlineStr">
        <is>
          <t>Anthropic - input</t>
        </is>
      </c>
      <c r="B107" s="63" t="n">
        <v>2</v>
      </c>
      <c r="C107" s="2" t="inlineStr">
        <is>
          <t>$/M</t>
        </is>
      </c>
      <c r="E107" s="47" t="inlineStr"/>
    </row>
    <row r="108">
      <c r="A108" s="48" t="inlineStr">
        <is>
          <t>Anthropic - output</t>
        </is>
      </c>
      <c r="B108" s="63" t="n">
        <v>10</v>
      </c>
      <c r="C108" s="2" t="inlineStr">
        <is>
          <t>$/M</t>
        </is>
      </c>
      <c r="E108" s="47" t="inlineStr"/>
    </row>
    <row r="109">
      <c r="A109" s="48" t="inlineStr">
        <is>
          <t>Anthropic - cache read</t>
        </is>
      </c>
      <c r="B109" s="63" t="n">
        <v>0.2</v>
      </c>
      <c r="C109" s="2" t="inlineStr">
        <is>
          <t>$/M</t>
        </is>
      </c>
      <c r="E109" s="47" t="inlineStr"/>
    </row>
    <row r="110">
      <c r="A110" s="48" t="inlineStr">
        <is>
          <t>Anthropic ceiling</t>
        </is>
      </c>
      <c r="B110" s="49" t="n">
        <v>2000</v>
      </c>
      <c r="C110" s="2" t="inlineStr">
        <is>
          <t>k tok/min</t>
        </is>
      </c>
      <c r="E110" s="47" t="inlineStr"/>
    </row>
    <row r="111">
      <c r="A111" s="48" t="inlineStr">
        <is>
          <t>OpenAI - input</t>
        </is>
      </c>
      <c r="B111" s="63" t="n">
        <v>4</v>
      </c>
      <c r="C111" s="2" t="inlineStr">
        <is>
          <t>$/M</t>
        </is>
      </c>
      <c r="E111" s="47" t="inlineStr"/>
    </row>
    <row r="112">
      <c r="A112" s="48" t="inlineStr">
        <is>
          <t>OpenAI - output</t>
        </is>
      </c>
      <c r="B112" s="63" t="n">
        <v>20</v>
      </c>
      <c r="C112" s="2" t="inlineStr">
        <is>
          <t>$/M</t>
        </is>
      </c>
      <c r="E112" s="47" t="inlineStr"/>
    </row>
    <row r="113">
      <c r="A113" s="48" t="inlineStr">
        <is>
          <t>OpenAI - cache read</t>
        </is>
      </c>
      <c r="B113" s="63" t="n">
        <v>0.4</v>
      </c>
      <c r="C113" s="2" t="inlineStr">
        <is>
          <t>$/M</t>
        </is>
      </c>
      <c r="E113" s="47" t="inlineStr"/>
    </row>
    <row r="114">
      <c r="A114" s="48" t="inlineStr">
        <is>
          <t>OpenAI ceiling</t>
        </is>
      </c>
      <c r="B114" s="49" t="n">
        <v>2000</v>
      </c>
      <c r="C114" s="2" t="inlineStr">
        <is>
          <t>k tok/min</t>
        </is>
      </c>
      <c r="E114" s="47" t="inlineStr"/>
    </row>
    <row r="115">
      <c r="A115" s="48" t="inlineStr">
        <is>
          <t>Bedrock - input</t>
        </is>
      </c>
      <c r="B115" s="63" t="n">
        <v>2</v>
      </c>
      <c r="C115" s="2" t="inlineStr">
        <is>
          <t>$/M</t>
        </is>
      </c>
      <c r="E115" s="47" t="inlineStr"/>
    </row>
    <row r="116">
      <c r="A116" s="48" t="inlineStr">
        <is>
          <t>Bedrock - output</t>
        </is>
      </c>
      <c r="B116" s="63" t="n">
        <v>10</v>
      </c>
      <c r="C116" s="2" t="inlineStr">
        <is>
          <t>$/M</t>
        </is>
      </c>
      <c r="E116" s="47" t="inlineStr"/>
    </row>
    <row r="117">
      <c r="A117" s="48" t="inlineStr">
        <is>
          <t>Bedrock - cache read</t>
        </is>
      </c>
      <c r="B117" s="63" t="n">
        <v>0.2</v>
      </c>
      <c r="C117" s="2" t="inlineStr">
        <is>
          <t>$/M</t>
        </is>
      </c>
      <c r="E117" s="47" t="inlineStr"/>
    </row>
    <row r="118">
      <c r="A118" s="48" t="inlineStr">
        <is>
          <t>Bedrock ceiling</t>
        </is>
      </c>
      <c r="B118" s="49" t="n">
        <v>1000</v>
      </c>
      <c r="C118" s="2" t="inlineStr">
        <is>
          <t>k tok/min</t>
        </is>
      </c>
      <c r="E118" s="47" t="inlineStr"/>
    </row>
    <row r="119">
      <c r="A119" s="48" t="inlineStr">
        <is>
          <t>Azure - input</t>
        </is>
      </c>
      <c r="B119" s="63" t="n">
        <v>4</v>
      </c>
      <c r="C119" s="2" t="inlineStr">
        <is>
          <t>$/M</t>
        </is>
      </c>
      <c r="E119" s="47" t="inlineStr"/>
    </row>
    <row r="120">
      <c r="A120" s="48" t="inlineStr">
        <is>
          <t>Azure - output</t>
        </is>
      </c>
      <c r="B120" s="63" t="n">
        <v>20</v>
      </c>
      <c r="C120" s="2" t="inlineStr">
        <is>
          <t>$/M</t>
        </is>
      </c>
      <c r="E120" s="47" t="inlineStr"/>
    </row>
    <row r="121">
      <c r="A121" s="48" t="inlineStr">
        <is>
          <t>Azure - cache read</t>
        </is>
      </c>
      <c r="B121" s="63" t="n">
        <v>0.4</v>
      </c>
      <c r="C121" s="2" t="inlineStr">
        <is>
          <t>$/M</t>
        </is>
      </c>
      <c r="E121" s="47" t="inlineStr"/>
    </row>
    <row r="122">
      <c r="A122" s="48" t="inlineStr">
        <is>
          <t>Azure ceiling</t>
        </is>
      </c>
      <c r="B122" s="49" t="n">
        <v>1000</v>
      </c>
      <c r="C122" s="2" t="inlineStr">
        <is>
          <t>k tok/min</t>
        </is>
      </c>
      <c r="E122" s="47" t="inlineStr"/>
    </row>
    <row r="123">
      <c r="A123" s="48" t="inlineStr">
        <is>
          <t>Serverless open - input</t>
        </is>
      </c>
      <c r="B123" s="63" t="n">
        <v>0.3</v>
      </c>
      <c r="C123" s="2" t="inlineStr">
        <is>
          <t>$/M</t>
        </is>
      </c>
      <c r="E123" s="47" t="inlineStr">
        <is>
          <t>Open weights bought by the token from an aggregator or a serving provider.</t>
        </is>
      </c>
    </row>
    <row r="124">
      <c r="A124" s="48" t="inlineStr">
        <is>
          <t>Serverless open - output</t>
        </is>
      </c>
      <c r="B124" s="63" t="n">
        <v>1.2</v>
      </c>
      <c r="C124" s="2" t="inlineStr">
        <is>
          <t>$/M</t>
        </is>
      </c>
      <c r="E124" s="47" t="inlineStr"/>
    </row>
    <row r="125">
      <c r="A125" s="48" t="inlineStr">
        <is>
          <t>Serverless open - cache read</t>
        </is>
      </c>
      <c r="B125" s="63" t="n">
        <v>0.08</v>
      </c>
      <c r="C125" s="2" t="inlineStr">
        <is>
          <t>$/M</t>
        </is>
      </c>
      <c r="E125" s="47" t="inlineStr"/>
    </row>
    <row r="126">
      <c r="A126" s="48" t="inlineStr">
        <is>
          <t>Aggregator credit fee</t>
        </is>
      </c>
      <c r="B126" s="51" t="n">
        <v>0.05</v>
      </c>
      <c r="C126" s="2" t="inlineStr">
        <is>
          <t>%</t>
        </is>
      </c>
      <c r="E126" s="47" t="inlineStr"/>
    </row>
    <row r="127">
      <c r="A127" s="48" t="inlineStr">
        <is>
          <t>Serverless ceiling</t>
        </is>
      </c>
      <c r="B127" s="49" t="n">
        <v>10000</v>
      </c>
      <c r="C127" s="2" t="inlineStr">
        <is>
          <t>k tok/min</t>
        </is>
      </c>
      <c r="E127" s="47" t="inlineStr"/>
    </row>
    <row r="128">
      <c r="A128" s="48" t="inlineStr">
        <is>
          <t>Seat price</t>
        </is>
      </c>
      <c r="B128" s="57">
        <f>IF($D$128&lt;&gt;"",$D$128,INDEX(tbl_plans,MATCH(sel_plan,cat_plans,0),2))</f>
        <v/>
      </c>
      <c r="C128" s="2" t="inlineStr">
        <is>
          <t>$/dev/mo</t>
        </is>
      </c>
      <c r="D128" s="58" t="n"/>
      <c r="E128" s="47" t="inlineStr"/>
    </row>
    <row r="129">
      <c r="A129" s="48" t="inlineStr">
        <is>
          <t>Platform seat it rides on</t>
        </is>
      </c>
      <c r="B129" s="57">
        <f>IF($D$129&lt;&gt;"",$D$129,INDEX(tbl_plans,MATCH(sel_plan,cat_plans,0),3))</f>
        <v/>
      </c>
      <c r="C129" s="2" t="inlineStr">
        <is>
          <t>$/dev/mo</t>
        </is>
      </c>
      <c r="D129" s="58" t="n"/>
      <c r="E129" s="47" t="inlineStr">
        <is>
          <t>Copilot Enterprise needs a GitHub Enterprise Cloud seat. Many buyers already hold one.</t>
        </is>
      </c>
    </row>
    <row r="130">
      <c r="A130" s="48" t="inlineStr">
        <is>
          <t>Per-seat ceiling</t>
        </is>
      </c>
      <c r="B130" s="55">
        <f>IF($D$130&lt;&gt;"",$D$130,INDEX(tbl_plans,MATCH(sel_plan,cat_plans,0),4))</f>
        <v/>
      </c>
      <c r="C130" s="2" t="inlineStr">
        <is>
          <t>tok/min</t>
        </is>
      </c>
      <c r="D130" s="56" t="n"/>
      <c r="E130" s="47" t="inlineStr">
        <is>
          <t>ESTIMATE of sustained throughput inside the plan's limits, not a published figure.</t>
        </is>
      </c>
    </row>
    <row r="131">
      <c r="A131" s="48" t="inlineStr">
        <is>
          <t>We already pay for the platform seat</t>
        </is>
      </c>
      <c r="B131" s="54" t="inlineStr">
        <is>
          <t>No</t>
        </is>
      </c>
      <c r="E131" s="47" t="inlineStr"/>
    </row>
  </sheetData>
  <dataValidations count="9">
    <dataValidation sqref="B11" showDropDown="0" showInputMessage="0" showErrorMessage="0" allowBlank="0" type="list">
      <formula1>=Catalogues!$A$6:$A$15</formula1>
    </dataValidation>
    <dataValidation sqref="B12" showDropDown="0" showInputMessage="0" showErrorMessage="0" allowBlank="0" type="list">
      <formula1>=Catalogues!$A$20:$A$22</formula1>
    </dataValidation>
    <dataValidation sqref="B13" showDropDown="0" showInputMessage="0" showErrorMessage="0" allowBlank="0" type="list">
      <formula1>=Catalogues!$A$26:$A$33</formula1>
    </dataValidation>
    <dataValidation sqref="B14" showDropDown="0" showInputMessage="0" showErrorMessage="0" allowBlank="0" type="list">
      <formula1>=Catalogues!$A$38:$A$47</formula1>
    </dataValidation>
    <dataValidation sqref="B15" showDropDown="0" showInputMessage="0" showErrorMessage="0" allowBlank="0" type="list">
      <formula1>=Catalogues!$A$60:$A$62</formula1>
    </dataValidation>
    <dataValidation sqref="B38" showDropDown="0" showInputMessage="0" showErrorMessage="0" allowBlank="0" type="list">
      <formula1>"Yes,No"</formula1>
    </dataValidation>
    <dataValidation sqref="B80" showDropDown="0" showInputMessage="0" showErrorMessage="0" allowBlank="0" type="list">
      <formula1>"Yes,No"</formula1>
    </dataValidation>
    <dataValidation sqref="B102" showDropDown="0" showInputMessage="0" showErrorMessage="0" allowBlank="0" type="list">
      <formula1>"Yes,No"</formula1>
    </dataValidation>
    <dataValidation sqref="B131" showDropDown="0" showInputMessage="0" showErrorMessage="0" allowBlank="0" type="list">
      <formula1>"Yes,No"</formula1>
    </dataValidation>
  </dataValidations>
  <pageMargins left="0.4" right="0.4" top="0.5" bottom="0.5" header="0.5" footer="0.5"/>
  <pageSetup orientation="portrait" fitToHeight="0" fitToWidth="1"/>
  <headerFooter>
    <oddHeader/>
    <oddFooter>&amp;LCoding assistant TCO - offline edition&amp;RPage &amp;P of &amp;N</oddFooter>
    <evenHeader/>
    <evenFooter/>
    <firstHeader/>
    <firstFooter/>
  </headerFooter>
</worksheet>
</file>

<file path=xl/worksheets/sheet3.xml><?xml version="1.0" encoding="utf-8"?>
<worksheet xmlns="http://schemas.openxmlformats.org/spreadsheetml/2006/main">
  <sheetPr>
    <tabColor rgb="000F7B4F"/>
    <outlinePr summaryBelow="1" summaryRight="1"/>
    <pageSetUpPr fitToPage="1"/>
  </sheetPr>
  <dimension ref="A1:Q28"/>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11" customWidth="1" min="3" max="3"/>
    <col width="11" customWidth="1" min="4" max="4"/>
    <col width="15" customWidth="1" min="5" max="5"/>
    <col width="13" customWidth="1" min="6" max="6"/>
    <col width="11" customWidth="1" min="7" max="7"/>
    <col width="11" customWidth="1" min="8" max="8"/>
    <col width="11" customWidth="1" min="9" max="9"/>
    <col width="11" customWidth="1" min="10" max="10"/>
    <col width="11" customWidth="1" min="11" max="11"/>
    <col width="11" customWidth="1" min="12" max="12"/>
    <col width="13" customWidth="1" min="13" max="13"/>
    <col width="13" customWidth="1" min="14" max="14"/>
    <col width="13" customWidth="1" min="15" max="15"/>
    <col width="14" customWidth="1" min="16" max="16"/>
    <col width="11" customWidth="1" min="17" max="17"/>
  </cols>
  <sheetData>
    <row r="1">
      <c r="A1" s="1" t="inlineStr">
        <is>
          <t>Which model, at your workload</t>
        </is>
      </c>
    </row>
    <row r="2">
      <c r="A2" s="2" t="inlineStr">
        <is>
          <t>The same month of work, priced on every candidate. Rate cards are list prices from Catalogues; the self-hosted block replays the whole fleet calculation once per set of weights, because changing the model changes the iron under it.</t>
        </is>
      </c>
    </row>
    <row r="4">
      <c r="A4" s="11" t="inlineStr">
        <is>
          <t>PAY PER TOKEN</t>
        </is>
      </c>
      <c r="B4" s="12" t="n"/>
      <c r="C4" s="12" t="n"/>
      <c r="D4" s="12" t="n"/>
      <c r="E4" s="12" t="n"/>
      <c r="F4" s="12" t="n"/>
      <c r="G4" s="12" t="n"/>
    </row>
    <row r="5">
      <c r="A5" s="14" t="inlineStr">
        <is>
          <t>Model</t>
        </is>
      </c>
      <c r="B5" s="14" t="inlineStr">
        <is>
          <t>Lab</t>
        </is>
      </c>
      <c r="C5" s="13" t="inlineStr">
        <is>
          <t>In $/M</t>
        </is>
      </c>
      <c r="D5" s="13" t="inlineStr">
        <is>
          <t>Out $/M</t>
        </is>
      </c>
      <c r="E5" s="13" t="inlineStr">
        <is>
          <t>Your bill / mo</t>
        </is>
      </c>
      <c r="F5" s="13" t="inlineStr">
        <is>
          <t>AI $ / task</t>
        </is>
      </c>
      <c r="G5" s="13" t="inlineStr">
        <is>
          <t>vs cheapest</t>
        </is>
      </c>
    </row>
    <row r="6">
      <c r="A6" s="39">
        <f>Catalogues!$A$52</f>
        <v/>
      </c>
      <c r="B6" s="2">
        <f>Catalogues!$B$52</f>
        <v/>
      </c>
      <c r="C6" s="32">
        <f>Catalogues!$C$52</f>
        <v/>
      </c>
      <c r="D6" s="32">
        <f>Catalogues!$D$52</f>
        <v/>
      </c>
      <c r="E6" s="31">
        <f>(m_fresh/1000000*C6+m_cached/1000000*Catalogues!$E$52+m_outTok/1000000*D6)*disc</f>
        <v/>
      </c>
      <c r="F6" s="32">
        <f>IF(acceptedTasks&gt;0,E6/acceptedTasks,0)</f>
        <v/>
      </c>
      <c r="G6" s="35">
        <f>IF(MIN($E$6:$E$10)&gt;0,E6/MIN($E$6:$E$10),0)</f>
        <v/>
      </c>
    </row>
    <row r="7">
      <c r="A7" s="39">
        <f>Catalogues!$A$53</f>
        <v/>
      </c>
      <c r="B7" s="2">
        <f>Catalogues!$B$53</f>
        <v/>
      </c>
      <c r="C7" s="32">
        <f>Catalogues!$C$53</f>
        <v/>
      </c>
      <c r="D7" s="32">
        <f>Catalogues!$D$53</f>
        <v/>
      </c>
      <c r="E7" s="31">
        <f>(m_fresh/1000000*C7+m_cached/1000000*Catalogues!$E$53+m_outTok/1000000*D7)*disc</f>
        <v/>
      </c>
      <c r="F7" s="32">
        <f>IF(acceptedTasks&gt;0,E7/acceptedTasks,0)</f>
        <v/>
      </c>
      <c r="G7" s="35">
        <f>IF(MIN($E$6:$E$10)&gt;0,E7/MIN($E$6:$E$10),0)</f>
        <v/>
      </c>
    </row>
    <row r="8">
      <c r="A8" s="39">
        <f>Catalogues!$A$54</f>
        <v/>
      </c>
      <c r="B8" s="2">
        <f>Catalogues!$B$54</f>
        <v/>
      </c>
      <c r="C8" s="32">
        <f>Catalogues!$C$54</f>
        <v/>
      </c>
      <c r="D8" s="32">
        <f>Catalogues!$D$54</f>
        <v/>
      </c>
      <c r="E8" s="31">
        <f>(m_fresh/1000000*C8+m_cached/1000000*Catalogues!$E$54+m_outTok/1000000*D8)*disc</f>
        <v/>
      </c>
      <c r="F8" s="32">
        <f>IF(acceptedTasks&gt;0,E8/acceptedTasks,0)</f>
        <v/>
      </c>
      <c r="G8" s="35">
        <f>IF(MIN($E$6:$E$10)&gt;0,E8/MIN($E$6:$E$10),0)</f>
        <v/>
      </c>
    </row>
    <row r="9">
      <c r="A9" s="39">
        <f>Catalogues!$A$55</f>
        <v/>
      </c>
      <c r="B9" s="2">
        <f>Catalogues!$B$55</f>
        <v/>
      </c>
      <c r="C9" s="32">
        <f>Catalogues!$C$55</f>
        <v/>
      </c>
      <c r="D9" s="32">
        <f>Catalogues!$D$55</f>
        <v/>
      </c>
      <c r="E9" s="31">
        <f>(m_fresh/1000000*C9+m_cached/1000000*Catalogues!$E$55+m_outTok/1000000*D9)*disc</f>
        <v/>
      </c>
      <c r="F9" s="32">
        <f>IF(acceptedTasks&gt;0,E9/acceptedTasks,0)</f>
        <v/>
      </c>
      <c r="G9" s="35">
        <f>IF(MIN($E$6:$E$10)&gt;0,E9/MIN($E$6:$E$10),0)</f>
        <v/>
      </c>
    </row>
    <row r="10">
      <c r="A10" s="39" t="inlineStr">
        <is>
          <t>Open weights, serverless</t>
        </is>
      </c>
      <c r="B10" s="2" t="inlineStr">
        <is>
          <t>aggregator or provider</t>
        </is>
      </c>
      <c r="C10" s="32">
        <f>orIn</f>
        <v/>
      </c>
      <c r="D10" s="32">
        <f>orOut</f>
        <v/>
      </c>
      <c r="E10" s="31">
        <f>(m_fresh*tm_o/1000000*orIn+m_cached*tm_o/1000000*orCache+m_outTok*tm_o/1000000*orOut)*disc*(1+orFee)</f>
        <v/>
      </c>
      <c r="F10" s="32">
        <f>IF(acceptedTasks&gt;0,E10/acceptedTasks,0)</f>
        <v/>
      </c>
      <c r="G10" s="35">
        <f>IF(MIN($E$6:$E$10)&gt;0,E10/MIN($E$6:$E$10),0)</f>
        <v/>
      </c>
    </row>
    <row r="11">
      <c r="A11" s="36" t="inlineStr">
        <is>
          <t>The serverless row carries the open model's extra attempts, because a weaker model needs more of them for the same accepted work. The frontier rows are the yardstick at 1.00x.</t>
        </is>
      </c>
    </row>
    <row r="13">
      <c r="A13" s="11" t="inlineStr">
        <is>
          <t>HOST IT YOURSELF - THE WHOLE FLEET CALCULATION, ONCE PER MODEL</t>
        </is>
      </c>
      <c r="B13" s="12" t="n"/>
      <c r="C13" s="12" t="n"/>
      <c r="D13" s="12" t="n"/>
      <c r="E13" s="12" t="n"/>
      <c r="F13" s="12" t="n"/>
      <c r="G13" s="12" t="n"/>
      <c r="H13" s="12" t="n"/>
      <c r="I13" s="12" t="n"/>
      <c r="J13" s="12" t="n"/>
      <c r="K13" s="12" t="n"/>
      <c r="L13" s="12" t="n"/>
      <c r="M13" s="12" t="n"/>
      <c r="N13" s="12" t="n"/>
      <c r="O13" s="12" t="n"/>
      <c r="P13" s="12" t="n"/>
      <c r="Q13" s="12" t="n"/>
    </row>
    <row r="14">
      <c r="A14" s="14" t="inlineStr">
        <is>
          <t>Open-weight model</t>
        </is>
      </c>
      <c r="B14" s="13" t="inlineStr">
        <is>
          <t>Weights GB</t>
        </is>
      </c>
      <c r="C14" s="13" t="inlineStr">
        <is>
          <t>KV GB</t>
        </is>
      </c>
      <c r="D14" s="13" t="inlineStr">
        <is>
          <t>Memory / replica</t>
        </is>
      </c>
      <c r="E14" s="13" t="inlineStr">
        <is>
          <t>Cards / replica</t>
        </is>
      </c>
      <c r="F14" s="13" t="inlineStr">
        <is>
          <t>Replicas</t>
        </is>
      </c>
      <c r="G14" s="13" t="inlineStr">
        <is>
          <t>Cards</t>
        </is>
      </c>
      <c r="H14" s="13" t="inlineStr">
        <is>
          <t>Hosts</t>
        </is>
      </c>
      <c r="I14" s="13" t="inlineStr">
        <is>
          <t>One replica tok/s</t>
        </is>
      </c>
      <c r="J14" s="13" t="inlineStr">
        <is>
          <t>Hardware capital</t>
        </is>
      </c>
      <c r="K14" s="13" t="inlineStr">
        <is>
          <t>Written down</t>
        </is>
      </c>
      <c r="L14" s="13" t="inlineStr">
        <is>
          <t>Power &amp; rack</t>
        </is>
      </c>
      <c r="M14" s="13" t="inlineStr">
        <is>
          <t>People</t>
        </is>
      </c>
      <c r="N14" s="13" t="inlineStr">
        <is>
          <t>Developer time</t>
        </is>
      </c>
      <c r="O14" s="13" t="inlineStr">
        <is>
          <t>Own it / mo</t>
        </is>
      </c>
      <c r="P14" s="13" t="inlineStr">
        <is>
          <t>vs cheapest</t>
        </is>
      </c>
      <c r="Q14" s="13" t="inlineStr">
        <is>
          <t>Fits a laptop</t>
        </is>
      </c>
    </row>
    <row r="15">
      <c r="A15" s="39">
        <f>Catalogues!$A$6</f>
        <v/>
      </c>
      <c r="B15" s="34">
        <f>Catalogues!$B$6*q_bytes</f>
        <v/>
      </c>
      <c r="C15" s="34">
        <f>batch*ctxK*1000*Catalogues!$D$6*q_kv/1024</f>
        <v/>
      </c>
      <c r="D15" s="34">
        <f>B15*1.15+C15</f>
        <v/>
      </c>
      <c r="E15" s="34">
        <f>IF(MAX(1,CEILING(D15/MAX(1,gpuVram),1))&lt;=nodeSize,MIN(nodeSize,POWER(2,CEILING(LOG(MAX(1,CEILING(D15/MAX(1,gpuVram),1)),2)-0.0000001,1))),CEILING(MAX(1,CEILING(D15/MAX(1,gpuVram),1))/nodeSize,1)*nodeSize)</f>
        <v/>
      </c>
      <c r="F15" s="34">
        <f>IF(devs=0,0,IF(I15&gt;0,MAX(1,CEILING(peakTps/I15,1)),1))</f>
        <v/>
      </c>
      <c r="G15" s="34">
        <f>F15*E15</f>
        <v/>
      </c>
      <c r="H15" s="34">
        <f>CEILING(G15/8,1)</f>
        <v/>
      </c>
      <c r="I15" s="34">
        <f>MIN(E15*MAX(1,gpuBw)*IF(CEILING(E15/nodeSize,1)&gt;1,MAX(0.05,1-multiNodeLoss),1)/(Catalogues!$C$6*q_bytes)*bwEff,streamCap)*MIN(batch,32)</f>
        <v/>
      </c>
      <c r="J15" s="31">
        <f>G15*gpuBuy*(1+spares)+H15*(hostCost+netFabric+installHost)</f>
        <v/>
      </c>
      <c r="K15" s="31">
        <f>J15/amort</f>
        <v/>
      </c>
      <c r="L15" s="31">
        <f>G15*gpuW/1000*1.25*(pue*730*kwhDc+coloKw)+(Catalogues!$B$6*2+Catalogues!$B$6*q_bytes)*MAX(1,ckpts)*storGb+J15*warranty/12</f>
        <v/>
      </c>
      <c r="M15" s="31">
        <f>platformMo+adminMo+IF(labourYN="Yes",(setupArch+H15*setupRack+setupStack+setupEval+setupSec)*engHr,0)/amort</f>
        <v/>
      </c>
      <c r="N15" s="31">
        <f>drag_o</f>
        <v/>
      </c>
      <c r="O15" s="64">
        <f>K15+L15+M15+N15</f>
        <v/>
      </c>
      <c r="P15" s="35">
        <f>IF(MIN($O$15:$O$24)&gt;0,O15/MIN($O$15:$O$24),0)</f>
        <v/>
      </c>
      <c r="Q15" s="65">
        <f>IF(B15*1.15+4&lt;=lapRam,"Yes","No")</f>
        <v/>
      </c>
    </row>
    <row r="16">
      <c r="A16" s="39">
        <f>Catalogues!$A$7</f>
        <v/>
      </c>
      <c r="B16" s="34">
        <f>Catalogues!$B$7*q_bytes</f>
        <v/>
      </c>
      <c r="C16" s="34">
        <f>batch*ctxK*1000*Catalogues!$D$7*q_kv/1024</f>
        <v/>
      </c>
      <c r="D16" s="34">
        <f>B16*1.15+C16</f>
        <v/>
      </c>
      <c r="E16" s="34">
        <f>IF(MAX(1,CEILING(D16/MAX(1,gpuVram),1))&lt;=nodeSize,MIN(nodeSize,POWER(2,CEILING(LOG(MAX(1,CEILING(D16/MAX(1,gpuVram),1)),2)-0.0000001,1))),CEILING(MAX(1,CEILING(D16/MAX(1,gpuVram),1))/nodeSize,1)*nodeSize)</f>
        <v/>
      </c>
      <c r="F16" s="34">
        <f>IF(devs=0,0,IF(I16&gt;0,MAX(1,CEILING(peakTps/I16,1)),1))</f>
        <v/>
      </c>
      <c r="G16" s="34">
        <f>F16*E16</f>
        <v/>
      </c>
      <c r="H16" s="34">
        <f>CEILING(G16/8,1)</f>
        <v/>
      </c>
      <c r="I16" s="34">
        <f>MIN(E16*MAX(1,gpuBw)*IF(CEILING(E16/nodeSize,1)&gt;1,MAX(0.05,1-multiNodeLoss),1)/(Catalogues!$C$7*q_bytes)*bwEff,streamCap)*MIN(batch,32)</f>
        <v/>
      </c>
      <c r="J16" s="31">
        <f>G16*gpuBuy*(1+spares)+H16*(hostCost+netFabric+installHost)</f>
        <v/>
      </c>
      <c r="K16" s="31">
        <f>J16/amort</f>
        <v/>
      </c>
      <c r="L16" s="31">
        <f>G16*gpuW/1000*1.25*(pue*730*kwhDc+coloKw)+(Catalogues!$B$7*2+Catalogues!$B$7*q_bytes)*MAX(1,ckpts)*storGb+J16*warranty/12</f>
        <v/>
      </c>
      <c r="M16" s="31">
        <f>platformMo+adminMo+IF(labourYN="Yes",(setupArch+H16*setupRack+setupStack+setupEval+setupSec)*engHr,0)/amort</f>
        <v/>
      </c>
      <c r="N16" s="31">
        <f>drag_o</f>
        <v/>
      </c>
      <c r="O16" s="64">
        <f>K16+L16+M16+N16</f>
        <v/>
      </c>
      <c r="P16" s="35">
        <f>IF(MIN($O$15:$O$24)&gt;0,O16/MIN($O$15:$O$24),0)</f>
        <v/>
      </c>
      <c r="Q16" s="65">
        <f>IF(B16*1.15+4&lt;=lapRam,"Yes","No")</f>
        <v/>
      </c>
    </row>
    <row r="17">
      <c r="A17" s="39">
        <f>Catalogues!$A$8</f>
        <v/>
      </c>
      <c r="B17" s="34">
        <f>Catalogues!$B$8*q_bytes</f>
        <v/>
      </c>
      <c r="C17" s="34">
        <f>batch*ctxK*1000*Catalogues!$D$8*q_kv/1024</f>
        <v/>
      </c>
      <c r="D17" s="34">
        <f>B17*1.15+C17</f>
        <v/>
      </c>
      <c r="E17" s="34">
        <f>IF(MAX(1,CEILING(D17/MAX(1,gpuVram),1))&lt;=nodeSize,MIN(nodeSize,POWER(2,CEILING(LOG(MAX(1,CEILING(D17/MAX(1,gpuVram),1)),2)-0.0000001,1))),CEILING(MAX(1,CEILING(D17/MAX(1,gpuVram),1))/nodeSize,1)*nodeSize)</f>
        <v/>
      </c>
      <c r="F17" s="34">
        <f>IF(devs=0,0,IF(I17&gt;0,MAX(1,CEILING(peakTps/I17,1)),1))</f>
        <v/>
      </c>
      <c r="G17" s="34">
        <f>F17*E17</f>
        <v/>
      </c>
      <c r="H17" s="34">
        <f>CEILING(G17/8,1)</f>
        <v/>
      </c>
      <c r="I17" s="34">
        <f>MIN(E17*MAX(1,gpuBw)*IF(CEILING(E17/nodeSize,1)&gt;1,MAX(0.05,1-multiNodeLoss),1)/(Catalogues!$C$8*q_bytes)*bwEff,streamCap)*MIN(batch,32)</f>
        <v/>
      </c>
      <c r="J17" s="31">
        <f>G17*gpuBuy*(1+spares)+H17*(hostCost+netFabric+installHost)</f>
        <v/>
      </c>
      <c r="K17" s="31">
        <f>J17/amort</f>
        <v/>
      </c>
      <c r="L17" s="31">
        <f>G17*gpuW/1000*1.25*(pue*730*kwhDc+coloKw)+(Catalogues!$B$8*2+Catalogues!$B$8*q_bytes)*MAX(1,ckpts)*storGb+J17*warranty/12</f>
        <v/>
      </c>
      <c r="M17" s="31">
        <f>platformMo+adminMo+IF(labourYN="Yes",(setupArch+H17*setupRack+setupStack+setupEval+setupSec)*engHr,0)/amort</f>
        <v/>
      </c>
      <c r="N17" s="31">
        <f>drag_o</f>
        <v/>
      </c>
      <c r="O17" s="64">
        <f>K17+L17+M17+N17</f>
        <v/>
      </c>
      <c r="P17" s="35">
        <f>IF(MIN($O$15:$O$24)&gt;0,O17/MIN($O$15:$O$24),0)</f>
        <v/>
      </c>
      <c r="Q17" s="65">
        <f>IF(B17*1.15+4&lt;=lapRam,"Yes","No")</f>
        <v/>
      </c>
    </row>
    <row r="18">
      <c r="A18" s="39">
        <f>Catalogues!$A$9</f>
        <v/>
      </c>
      <c r="B18" s="34">
        <f>Catalogues!$B$9*q_bytes</f>
        <v/>
      </c>
      <c r="C18" s="34">
        <f>batch*ctxK*1000*Catalogues!$D$9*q_kv/1024</f>
        <v/>
      </c>
      <c r="D18" s="34">
        <f>B18*1.15+C18</f>
        <v/>
      </c>
      <c r="E18" s="34">
        <f>IF(MAX(1,CEILING(D18/MAX(1,gpuVram),1))&lt;=nodeSize,MIN(nodeSize,POWER(2,CEILING(LOG(MAX(1,CEILING(D18/MAX(1,gpuVram),1)),2)-0.0000001,1))),CEILING(MAX(1,CEILING(D18/MAX(1,gpuVram),1))/nodeSize,1)*nodeSize)</f>
        <v/>
      </c>
      <c r="F18" s="34">
        <f>IF(devs=0,0,IF(I18&gt;0,MAX(1,CEILING(peakTps/I18,1)),1))</f>
        <v/>
      </c>
      <c r="G18" s="34">
        <f>F18*E18</f>
        <v/>
      </c>
      <c r="H18" s="34">
        <f>CEILING(G18/8,1)</f>
        <v/>
      </c>
      <c r="I18" s="34">
        <f>MIN(E18*MAX(1,gpuBw)*IF(CEILING(E18/nodeSize,1)&gt;1,MAX(0.05,1-multiNodeLoss),1)/(Catalogues!$C$9*q_bytes)*bwEff,streamCap)*MIN(batch,32)</f>
        <v/>
      </c>
      <c r="J18" s="31">
        <f>G18*gpuBuy*(1+spares)+H18*(hostCost+netFabric+installHost)</f>
        <v/>
      </c>
      <c r="K18" s="31">
        <f>J18/amort</f>
        <v/>
      </c>
      <c r="L18" s="31">
        <f>G18*gpuW/1000*1.25*(pue*730*kwhDc+coloKw)+(Catalogues!$B$9*2+Catalogues!$B$9*q_bytes)*MAX(1,ckpts)*storGb+J18*warranty/12</f>
        <v/>
      </c>
      <c r="M18" s="31">
        <f>platformMo+adminMo+IF(labourYN="Yes",(setupArch+H18*setupRack+setupStack+setupEval+setupSec)*engHr,0)/amort</f>
        <v/>
      </c>
      <c r="N18" s="31">
        <f>drag_o</f>
        <v/>
      </c>
      <c r="O18" s="64">
        <f>K18+L18+M18+N18</f>
        <v/>
      </c>
      <c r="P18" s="35">
        <f>IF(MIN($O$15:$O$24)&gt;0,O18/MIN($O$15:$O$24),0)</f>
        <v/>
      </c>
      <c r="Q18" s="65">
        <f>IF(B18*1.15+4&lt;=lapRam,"Yes","No")</f>
        <v/>
      </c>
    </row>
    <row r="19">
      <c r="A19" s="39">
        <f>Catalogues!$A$10</f>
        <v/>
      </c>
      <c r="B19" s="34">
        <f>Catalogues!$B$10*q_bytes</f>
        <v/>
      </c>
      <c r="C19" s="34">
        <f>batch*ctxK*1000*Catalogues!$D$10*q_kv/1024</f>
        <v/>
      </c>
      <c r="D19" s="34">
        <f>B19*1.15+C19</f>
        <v/>
      </c>
      <c r="E19" s="34">
        <f>IF(MAX(1,CEILING(D19/MAX(1,gpuVram),1))&lt;=nodeSize,MIN(nodeSize,POWER(2,CEILING(LOG(MAX(1,CEILING(D19/MAX(1,gpuVram),1)),2)-0.0000001,1))),CEILING(MAX(1,CEILING(D19/MAX(1,gpuVram),1))/nodeSize,1)*nodeSize)</f>
        <v/>
      </c>
      <c r="F19" s="34">
        <f>IF(devs=0,0,IF(I19&gt;0,MAX(1,CEILING(peakTps/I19,1)),1))</f>
        <v/>
      </c>
      <c r="G19" s="34">
        <f>F19*E19</f>
        <v/>
      </c>
      <c r="H19" s="34">
        <f>CEILING(G19/8,1)</f>
        <v/>
      </c>
      <c r="I19" s="34">
        <f>MIN(E19*MAX(1,gpuBw)*IF(CEILING(E19/nodeSize,1)&gt;1,MAX(0.05,1-multiNodeLoss),1)/(Catalogues!$C$10*q_bytes)*bwEff,streamCap)*MIN(batch,32)</f>
        <v/>
      </c>
      <c r="J19" s="31">
        <f>G19*gpuBuy*(1+spares)+H19*(hostCost+netFabric+installHost)</f>
        <v/>
      </c>
      <c r="K19" s="31">
        <f>J19/amort</f>
        <v/>
      </c>
      <c r="L19" s="31">
        <f>G19*gpuW/1000*1.25*(pue*730*kwhDc+coloKw)+(Catalogues!$B$10*2+Catalogues!$B$10*q_bytes)*MAX(1,ckpts)*storGb+J19*warranty/12</f>
        <v/>
      </c>
      <c r="M19" s="31">
        <f>platformMo+adminMo+IF(labourYN="Yes",(setupArch+H19*setupRack+setupStack+setupEval+setupSec)*engHr,0)/amort</f>
        <v/>
      </c>
      <c r="N19" s="31">
        <f>drag_o</f>
        <v/>
      </c>
      <c r="O19" s="64">
        <f>K19+L19+M19+N19</f>
        <v/>
      </c>
      <c r="P19" s="35">
        <f>IF(MIN($O$15:$O$24)&gt;0,O19/MIN($O$15:$O$24),0)</f>
        <v/>
      </c>
      <c r="Q19" s="65">
        <f>IF(B19*1.15+4&lt;=lapRam,"Yes","No")</f>
        <v/>
      </c>
    </row>
    <row r="20">
      <c r="A20" s="39">
        <f>Catalogues!$A$11</f>
        <v/>
      </c>
      <c r="B20" s="34">
        <f>Catalogues!$B$11*q_bytes</f>
        <v/>
      </c>
      <c r="C20" s="34">
        <f>batch*ctxK*1000*Catalogues!$D$11*q_kv/1024</f>
        <v/>
      </c>
      <c r="D20" s="34">
        <f>B20*1.15+C20</f>
        <v/>
      </c>
      <c r="E20" s="34">
        <f>IF(MAX(1,CEILING(D20/MAX(1,gpuVram),1))&lt;=nodeSize,MIN(nodeSize,POWER(2,CEILING(LOG(MAX(1,CEILING(D20/MAX(1,gpuVram),1)),2)-0.0000001,1))),CEILING(MAX(1,CEILING(D20/MAX(1,gpuVram),1))/nodeSize,1)*nodeSize)</f>
        <v/>
      </c>
      <c r="F20" s="34">
        <f>IF(devs=0,0,IF(I20&gt;0,MAX(1,CEILING(peakTps/I20,1)),1))</f>
        <v/>
      </c>
      <c r="G20" s="34">
        <f>F20*E20</f>
        <v/>
      </c>
      <c r="H20" s="34">
        <f>CEILING(G20/8,1)</f>
        <v/>
      </c>
      <c r="I20" s="34">
        <f>MIN(E20*MAX(1,gpuBw)*IF(CEILING(E20/nodeSize,1)&gt;1,MAX(0.05,1-multiNodeLoss),1)/(Catalogues!$C$11*q_bytes)*bwEff,streamCap)*MIN(batch,32)</f>
        <v/>
      </c>
      <c r="J20" s="31">
        <f>G20*gpuBuy*(1+spares)+H20*(hostCost+netFabric+installHost)</f>
        <v/>
      </c>
      <c r="K20" s="31">
        <f>J20/amort</f>
        <v/>
      </c>
      <c r="L20" s="31">
        <f>G20*gpuW/1000*1.25*(pue*730*kwhDc+coloKw)+(Catalogues!$B$11*2+Catalogues!$B$11*q_bytes)*MAX(1,ckpts)*storGb+J20*warranty/12</f>
        <v/>
      </c>
      <c r="M20" s="31">
        <f>platformMo+adminMo+IF(labourYN="Yes",(setupArch+H20*setupRack+setupStack+setupEval+setupSec)*engHr,0)/amort</f>
        <v/>
      </c>
      <c r="N20" s="31">
        <f>drag_o</f>
        <v/>
      </c>
      <c r="O20" s="64">
        <f>K20+L20+M20+N20</f>
        <v/>
      </c>
      <c r="P20" s="35">
        <f>IF(MIN($O$15:$O$24)&gt;0,O20/MIN($O$15:$O$24),0)</f>
        <v/>
      </c>
      <c r="Q20" s="65">
        <f>IF(B20*1.15+4&lt;=lapRam,"Yes","No")</f>
        <v/>
      </c>
    </row>
    <row r="21">
      <c r="A21" s="39">
        <f>Catalogues!$A$12</f>
        <v/>
      </c>
      <c r="B21" s="34">
        <f>Catalogues!$B$12*q_bytes</f>
        <v/>
      </c>
      <c r="C21" s="34">
        <f>batch*ctxK*1000*Catalogues!$D$12*q_kv/1024</f>
        <v/>
      </c>
      <c r="D21" s="34">
        <f>B21*1.15+C21</f>
        <v/>
      </c>
      <c r="E21" s="34">
        <f>IF(MAX(1,CEILING(D21/MAX(1,gpuVram),1))&lt;=nodeSize,MIN(nodeSize,POWER(2,CEILING(LOG(MAX(1,CEILING(D21/MAX(1,gpuVram),1)),2)-0.0000001,1))),CEILING(MAX(1,CEILING(D21/MAX(1,gpuVram),1))/nodeSize,1)*nodeSize)</f>
        <v/>
      </c>
      <c r="F21" s="34">
        <f>IF(devs=0,0,IF(I21&gt;0,MAX(1,CEILING(peakTps/I21,1)),1))</f>
        <v/>
      </c>
      <c r="G21" s="34">
        <f>F21*E21</f>
        <v/>
      </c>
      <c r="H21" s="34">
        <f>CEILING(G21/8,1)</f>
        <v/>
      </c>
      <c r="I21" s="34">
        <f>MIN(E21*MAX(1,gpuBw)*IF(CEILING(E21/nodeSize,1)&gt;1,MAX(0.05,1-multiNodeLoss),1)/(Catalogues!$C$12*q_bytes)*bwEff,streamCap)*MIN(batch,32)</f>
        <v/>
      </c>
      <c r="J21" s="31">
        <f>G21*gpuBuy*(1+spares)+H21*(hostCost+netFabric+installHost)</f>
        <v/>
      </c>
      <c r="K21" s="31">
        <f>J21/amort</f>
        <v/>
      </c>
      <c r="L21" s="31">
        <f>G21*gpuW/1000*1.25*(pue*730*kwhDc+coloKw)+(Catalogues!$B$12*2+Catalogues!$B$12*q_bytes)*MAX(1,ckpts)*storGb+J21*warranty/12</f>
        <v/>
      </c>
      <c r="M21" s="31">
        <f>platformMo+adminMo+IF(labourYN="Yes",(setupArch+H21*setupRack+setupStack+setupEval+setupSec)*engHr,0)/amort</f>
        <v/>
      </c>
      <c r="N21" s="31">
        <f>drag_o</f>
        <v/>
      </c>
      <c r="O21" s="64">
        <f>K21+L21+M21+N21</f>
        <v/>
      </c>
      <c r="P21" s="35">
        <f>IF(MIN($O$15:$O$24)&gt;0,O21/MIN($O$15:$O$24),0)</f>
        <v/>
      </c>
      <c r="Q21" s="65">
        <f>IF(B21*1.15+4&lt;=lapRam,"Yes","No")</f>
        <v/>
      </c>
    </row>
    <row r="22">
      <c r="A22" s="39">
        <f>Catalogues!$A$13</f>
        <v/>
      </c>
      <c r="B22" s="34">
        <f>Catalogues!$B$13*q_bytes</f>
        <v/>
      </c>
      <c r="C22" s="34">
        <f>batch*ctxK*1000*Catalogues!$D$13*q_kv/1024</f>
        <v/>
      </c>
      <c r="D22" s="34">
        <f>B22*1.15+C22</f>
        <v/>
      </c>
      <c r="E22" s="34">
        <f>IF(MAX(1,CEILING(D22/MAX(1,gpuVram),1))&lt;=nodeSize,MIN(nodeSize,POWER(2,CEILING(LOG(MAX(1,CEILING(D22/MAX(1,gpuVram),1)),2)-0.0000001,1))),CEILING(MAX(1,CEILING(D22/MAX(1,gpuVram),1))/nodeSize,1)*nodeSize)</f>
        <v/>
      </c>
      <c r="F22" s="34">
        <f>IF(devs=0,0,IF(I22&gt;0,MAX(1,CEILING(peakTps/I22,1)),1))</f>
        <v/>
      </c>
      <c r="G22" s="34">
        <f>F22*E22</f>
        <v/>
      </c>
      <c r="H22" s="34">
        <f>CEILING(G22/8,1)</f>
        <v/>
      </c>
      <c r="I22" s="34">
        <f>MIN(E22*MAX(1,gpuBw)*IF(CEILING(E22/nodeSize,1)&gt;1,MAX(0.05,1-multiNodeLoss),1)/(Catalogues!$C$13*q_bytes)*bwEff,streamCap)*MIN(batch,32)</f>
        <v/>
      </c>
      <c r="J22" s="31">
        <f>G22*gpuBuy*(1+spares)+H22*(hostCost+netFabric+installHost)</f>
        <v/>
      </c>
      <c r="K22" s="31">
        <f>J22/amort</f>
        <v/>
      </c>
      <c r="L22" s="31">
        <f>G22*gpuW/1000*1.25*(pue*730*kwhDc+coloKw)+(Catalogues!$B$13*2+Catalogues!$B$13*q_bytes)*MAX(1,ckpts)*storGb+J22*warranty/12</f>
        <v/>
      </c>
      <c r="M22" s="31">
        <f>platformMo+adminMo+IF(labourYN="Yes",(setupArch+H22*setupRack+setupStack+setupEval+setupSec)*engHr,0)/amort</f>
        <v/>
      </c>
      <c r="N22" s="31">
        <f>drag_o</f>
        <v/>
      </c>
      <c r="O22" s="64">
        <f>K22+L22+M22+N22</f>
        <v/>
      </c>
      <c r="P22" s="35">
        <f>IF(MIN($O$15:$O$24)&gt;0,O22/MIN($O$15:$O$24),0)</f>
        <v/>
      </c>
      <c r="Q22" s="65">
        <f>IF(B22*1.15+4&lt;=lapRam,"Yes","No")</f>
        <v/>
      </c>
    </row>
    <row r="23">
      <c r="A23" s="39">
        <f>Catalogues!$A$14</f>
        <v/>
      </c>
      <c r="B23" s="34">
        <f>Catalogues!$B$14*q_bytes</f>
        <v/>
      </c>
      <c r="C23" s="34">
        <f>batch*ctxK*1000*Catalogues!$D$14*q_kv/1024</f>
        <v/>
      </c>
      <c r="D23" s="34">
        <f>B23*1.15+C23</f>
        <v/>
      </c>
      <c r="E23" s="34">
        <f>IF(MAX(1,CEILING(D23/MAX(1,gpuVram),1))&lt;=nodeSize,MIN(nodeSize,POWER(2,CEILING(LOG(MAX(1,CEILING(D23/MAX(1,gpuVram),1)),2)-0.0000001,1))),CEILING(MAX(1,CEILING(D23/MAX(1,gpuVram),1))/nodeSize,1)*nodeSize)</f>
        <v/>
      </c>
      <c r="F23" s="34">
        <f>IF(devs=0,0,IF(I23&gt;0,MAX(1,CEILING(peakTps/I23,1)),1))</f>
        <v/>
      </c>
      <c r="G23" s="34">
        <f>F23*E23</f>
        <v/>
      </c>
      <c r="H23" s="34">
        <f>CEILING(G23/8,1)</f>
        <v/>
      </c>
      <c r="I23" s="34">
        <f>MIN(E23*MAX(1,gpuBw)*IF(CEILING(E23/nodeSize,1)&gt;1,MAX(0.05,1-multiNodeLoss),1)/(Catalogues!$C$14*q_bytes)*bwEff,streamCap)*MIN(batch,32)</f>
        <v/>
      </c>
      <c r="J23" s="31">
        <f>G23*gpuBuy*(1+spares)+H23*(hostCost+netFabric+installHost)</f>
        <v/>
      </c>
      <c r="K23" s="31">
        <f>J23/amort</f>
        <v/>
      </c>
      <c r="L23" s="31">
        <f>G23*gpuW/1000*1.25*(pue*730*kwhDc+coloKw)+(Catalogues!$B$14*2+Catalogues!$B$14*q_bytes)*MAX(1,ckpts)*storGb+J23*warranty/12</f>
        <v/>
      </c>
      <c r="M23" s="31">
        <f>platformMo+adminMo+IF(labourYN="Yes",(setupArch+H23*setupRack+setupStack+setupEval+setupSec)*engHr,0)/amort</f>
        <v/>
      </c>
      <c r="N23" s="31">
        <f>drag_o</f>
        <v/>
      </c>
      <c r="O23" s="64">
        <f>K23+L23+M23+N23</f>
        <v/>
      </c>
      <c r="P23" s="35">
        <f>IF(MIN($O$15:$O$24)&gt;0,O23/MIN($O$15:$O$24),0)</f>
        <v/>
      </c>
      <c r="Q23" s="65">
        <f>IF(B23*1.15+4&lt;=lapRam,"Yes","No")</f>
        <v/>
      </c>
    </row>
    <row r="24">
      <c r="A24" s="39">
        <f>Catalogues!$A$15</f>
        <v/>
      </c>
      <c r="B24" s="34">
        <f>Catalogues!$B$15*q_bytes</f>
        <v/>
      </c>
      <c r="C24" s="34">
        <f>batch*ctxK*1000*Catalogues!$D$15*q_kv/1024</f>
        <v/>
      </c>
      <c r="D24" s="34">
        <f>B24*1.15+C24</f>
        <v/>
      </c>
      <c r="E24" s="34">
        <f>IF(MAX(1,CEILING(D24/MAX(1,gpuVram),1))&lt;=nodeSize,MIN(nodeSize,POWER(2,CEILING(LOG(MAX(1,CEILING(D24/MAX(1,gpuVram),1)),2)-0.0000001,1))),CEILING(MAX(1,CEILING(D24/MAX(1,gpuVram),1))/nodeSize,1)*nodeSize)</f>
        <v/>
      </c>
      <c r="F24" s="34">
        <f>IF(devs=0,0,IF(I24&gt;0,MAX(1,CEILING(peakTps/I24,1)),1))</f>
        <v/>
      </c>
      <c r="G24" s="34">
        <f>F24*E24</f>
        <v/>
      </c>
      <c r="H24" s="34">
        <f>CEILING(G24/8,1)</f>
        <v/>
      </c>
      <c r="I24" s="34">
        <f>MIN(E24*MAX(1,gpuBw)*IF(CEILING(E24/nodeSize,1)&gt;1,MAX(0.05,1-multiNodeLoss),1)/(Catalogues!$C$15*q_bytes)*bwEff,streamCap)*MIN(batch,32)</f>
        <v/>
      </c>
      <c r="J24" s="31">
        <f>G24*gpuBuy*(1+spares)+H24*(hostCost+netFabric+installHost)</f>
        <v/>
      </c>
      <c r="K24" s="31">
        <f>J24/amort</f>
        <v/>
      </c>
      <c r="L24" s="31">
        <f>G24*gpuW/1000*1.25*(pue*730*kwhDc+coloKw)+(Catalogues!$B$15*2+Catalogues!$B$15*q_bytes)*MAX(1,ckpts)*storGb+J24*warranty/12</f>
        <v/>
      </c>
      <c r="M24" s="31">
        <f>platformMo+adminMo+IF(labourYN="Yes",(setupArch+H24*setupRack+setupStack+setupEval+setupSec)*engHr,0)/amort</f>
        <v/>
      </c>
      <c r="N24" s="31">
        <f>drag_o</f>
        <v/>
      </c>
      <c r="O24" s="64">
        <f>K24+L24+M24+N24</f>
        <v/>
      </c>
      <c r="P24" s="35">
        <f>IF(MIN($O$15:$O$24)&gt;0,O24/MIN($O$15:$O$24),0)</f>
        <v/>
      </c>
      <c r="Q24" s="65">
        <f>IF(B24*1.15+4&lt;=lapRam,"Yes","No")</f>
        <v/>
      </c>
    </row>
    <row r="25">
      <c r="A25" s="36" t="inlineStr">
        <is>
          <t>Fleet size is driven by peak demand, which does not change with the model - what changes is how much iron it takes to meet it. The cheapest weights to run are rarely the cheapest weights to own.</t>
        </is>
      </c>
    </row>
    <row r="27">
      <c r="A27" s="45" t="inlineStr">
        <is>
          <t>Cheapest to own</t>
        </is>
      </c>
      <c r="B27" s="66">
        <f>INDEX($A$15:$A$24,MATCH(MIN($O$15:$O$24),$O$15:$O$24,0))</f>
        <v/>
      </c>
    </row>
    <row r="28">
      <c r="A28" s="45" t="inlineStr">
        <is>
          <t>Cheapest per token</t>
        </is>
      </c>
      <c r="B28" s="66">
        <f>INDEX($A$6:$A$10,MATCH(MIN($E$6:$E$10),$E$6:$E$10,0))</f>
        <v/>
      </c>
    </row>
  </sheetData>
  <conditionalFormatting sqref="E6:E10">
    <cfRule type="dataBar" priority="1">
      <dataBar showValue="1">
        <cfvo type="num" val="0"/>
        <cfvo type="max"/>
        <color rgb="00125EC4"/>
      </dataBar>
    </cfRule>
  </conditionalFormatting>
  <conditionalFormatting sqref="O15:O24">
    <cfRule type="dataBar" priority="2">
      <dataBar showValue="1">
        <cfvo type="num" val="0"/>
        <cfvo type="max"/>
        <color rgb="000F7B4F"/>
      </dataBar>
    </cfRule>
  </conditionalFormatting>
  <pageMargins left="0.4" right="0.4" top="0.5" bottom="0.5" header="0.5" footer="0.5"/>
  <pageSetup orientation="landscape" fitToHeight="0" fitToWidth="1"/>
  <headerFooter>
    <oddHeader/>
    <oddFooter>&amp;LCoding assistant TCO - offline edition&amp;RPage &amp;P of &amp;N</oddFooter>
    <evenHeader/>
    <evenFooter/>
    <firstHeader/>
    <firstFooter/>
  </headerFooter>
</worksheet>
</file>

<file path=xl/worksheets/sheet4.xml><?xml version="1.0" encoding="utf-8"?>
<worksheet xmlns="http://schemas.openxmlformats.org/spreadsheetml/2006/main">
  <sheetPr>
    <tabColor rgb="008A5A00"/>
    <outlinePr summaryBelow="1" summaryRight="1"/>
    <pageSetUpPr/>
  </sheetPr>
  <dimension ref="A1:N6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0"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How the answer changes with team size</t>
        </is>
      </c>
    </row>
    <row r="2">
      <c r="A2" s="2" t="inlineStr">
        <is>
          <t>Every input is exactly as you left it on Inputs - only the head count moves. This is where the break-even lives.</t>
        </is>
      </c>
    </row>
    <row r="4">
      <c r="A4" s="11" t="inlineStr">
        <is>
          <t>TEAM SIZE</t>
        </is>
      </c>
      <c r="B4" s="12" t="n"/>
      <c r="C4" s="12" t="n"/>
      <c r="D4" s="12" t="n"/>
      <c r="E4" s="12" t="n"/>
      <c r="F4" s="12" t="n"/>
      <c r="G4" s="12" t="n"/>
      <c r="H4" s="12" t="n"/>
      <c r="I4" s="12" t="n"/>
      <c r="J4" s="12" t="n"/>
      <c r="K4" s="12" t="n"/>
      <c r="L4" s="12" t="n"/>
      <c r="M4" s="12" t="n"/>
      <c r="N4" s="12" t="n"/>
    </row>
    <row r="5">
      <c r="A5" s="67" t="inlineStr">
        <is>
          <t>Developers</t>
        </is>
      </c>
      <c r="B5" s="68" t="inlineStr">
        <is>
          <t>edit these if you like</t>
        </is>
      </c>
      <c r="C5" s="69" t="n">
        <v>1</v>
      </c>
      <c r="D5" s="69" t="n">
        <v>2</v>
      </c>
      <c r="E5" s="69" t="n">
        <v>5</v>
      </c>
      <c r="F5" s="69" t="n">
        <v>10</v>
      </c>
      <c r="G5" s="69" t="n">
        <v>25</v>
      </c>
      <c r="H5" s="69" t="n">
        <v>50</v>
      </c>
      <c r="I5" s="69" t="n">
        <v>100</v>
      </c>
      <c r="J5" s="69" t="n">
        <v>200</v>
      </c>
      <c r="K5" s="69" t="n">
        <v>350</v>
      </c>
      <c r="L5" s="69" t="n">
        <v>500</v>
      </c>
      <c r="M5" s="69" t="n">
        <v>750</v>
      </c>
      <c r="N5" s="69" t="n">
        <v>1000</v>
      </c>
    </row>
    <row r="7">
      <c r="A7" s="11" t="inlineStr">
        <is>
          <t>VOLUMES, FLEET AND STAFFING AT EACH SIZE</t>
        </is>
      </c>
      <c r="B7" s="12" t="n"/>
      <c r="C7" s="12" t="n"/>
      <c r="D7" s="12" t="n"/>
      <c r="E7" s="12" t="n"/>
      <c r="F7" s="12" t="n"/>
      <c r="G7" s="12" t="n"/>
      <c r="H7" s="12" t="n"/>
      <c r="I7" s="12" t="n"/>
      <c r="J7" s="12" t="n"/>
      <c r="K7" s="12" t="n"/>
      <c r="L7" s="12" t="n"/>
      <c r="M7" s="12" t="n"/>
      <c r="N7" s="12" t="n"/>
    </row>
    <row r="8">
      <c r="A8" s="39" t="inlineStr">
        <is>
          <t>Output tokens / mo</t>
        </is>
      </c>
      <c r="C8" s="34">
        <f>C$5*outTok*1000*workdays</f>
        <v/>
      </c>
      <c r="D8" s="34">
        <f>D$5*outTok*1000*workdays</f>
        <v/>
      </c>
      <c r="E8" s="34">
        <f>E$5*outTok*1000*workdays</f>
        <v/>
      </c>
      <c r="F8" s="34">
        <f>F$5*outTok*1000*workdays</f>
        <v/>
      </c>
      <c r="G8" s="34">
        <f>G$5*outTok*1000*workdays</f>
        <v/>
      </c>
      <c r="H8" s="34">
        <f>H$5*outTok*1000*workdays</f>
        <v/>
      </c>
      <c r="I8" s="34">
        <f>I$5*outTok*1000*workdays</f>
        <v/>
      </c>
      <c r="J8" s="34">
        <f>J$5*outTok*1000*workdays</f>
        <v/>
      </c>
      <c r="K8" s="34">
        <f>K$5*outTok*1000*workdays</f>
        <v/>
      </c>
      <c r="L8" s="34">
        <f>L$5*outTok*1000*workdays</f>
        <v/>
      </c>
      <c r="M8" s="34">
        <f>M$5*outTok*1000*workdays</f>
        <v/>
      </c>
      <c r="N8" s="34">
        <f>N$5*outTok*1000*workdays</f>
        <v/>
      </c>
    </row>
    <row r="9">
      <c r="A9" s="39" t="inlineStr">
        <is>
          <t>Input tokens / mo</t>
        </is>
      </c>
      <c r="C9" s="34">
        <f>C$5*inTok*1000000*workdays</f>
        <v/>
      </c>
      <c r="D9" s="34">
        <f>D$5*inTok*1000000*workdays</f>
        <v/>
      </c>
      <c r="E9" s="34">
        <f>E$5*inTok*1000000*workdays</f>
        <v/>
      </c>
      <c r="F9" s="34">
        <f>F$5*inTok*1000000*workdays</f>
        <v/>
      </c>
      <c r="G9" s="34">
        <f>G$5*inTok*1000000*workdays</f>
        <v/>
      </c>
      <c r="H9" s="34">
        <f>H$5*inTok*1000000*workdays</f>
        <v/>
      </c>
      <c r="I9" s="34">
        <f>I$5*inTok*1000000*workdays</f>
        <v/>
      </c>
      <c r="J9" s="34">
        <f>J$5*inTok*1000000*workdays</f>
        <v/>
      </c>
      <c r="K9" s="34">
        <f>K$5*inTok*1000000*workdays</f>
        <v/>
      </c>
      <c r="L9" s="34">
        <f>L$5*inTok*1000000*workdays</f>
        <v/>
      </c>
      <c r="M9" s="34">
        <f>M$5*inTok*1000000*workdays</f>
        <v/>
      </c>
      <c r="N9" s="34">
        <f>N$5*inTok*1000000*workdays</f>
        <v/>
      </c>
    </row>
    <row r="10">
      <c r="A10" s="39" t="inlineStr">
        <is>
          <t>Cached input</t>
        </is>
      </c>
      <c r="C10" s="34">
        <f>C$9*MIN(1,cacheShare)</f>
        <v/>
      </c>
      <c r="D10" s="34">
        <f>D$9*MIN(1,cacheShare)</f>
        <v/>
      </c>
      <c r="E10" s="34">
        <f>E$9*MIN(1,cacheShare)</f>
        <v/>
      </c>
      <c r="F10" s="34">
        <f>F$9*MIN(1,cacheShare)</f>
        <v/>
      </c>
      <c r="G10" s="34">
        <f>G$9*MIN(1,cacheShare)</f>
        <v/>
      </c>
      <c r="H10" s="34">
        <f>H$9*MIN(1,cacheShare)</f>
        <v/>
      </c>
      <c r="I10" s="34">
        <f>I$9*MIN(1,cacheShare)</f>
        <v/>
      </c>
      <c r="J10" s="34">
        <f>J$9*MIN(1,cacheShare)</f>
        <v/>
      </c>
      <c r="K10" s="34">
        <f>K$9*MIN(1,cacheShare)</f>
        <v/>
      </c>
      <c r="L10" s="34">
        <f>L$9*MIN(1,cacheShare)</f>
        <v/>
      </c>
      <c r="M10" s="34">
        <f>M$9*MIN(1,cacheShare)</f>
        <v/>
      </c>
      <c r="N10" s="34">
        <f>N$9*MIN(1,cacheShare)</f>
        <v/>
      </c>
    </row>
    <row r="11">
      <c r="A11" s="39" t="inlineStr">
        <is>
          <t>Fresh input</t>
        </is>
      </c>
      <c r="C11" s="34">
        <f>C$9-C$10</f>
        <v/>
      </c>
      <c r="D11" s="34">
        <f>D$9-D$10</f>
        <v/>
      </c>
      <c r="E11" s="34">
        <f>E$9-E$10</f>
        <v/>
      </c>
      <c r="F11" s="34">
        <f>F$9-F$10</f>
        <v/>
      </c>
      <c r="G11" s="34">
        <f>G$9-G$10</f>
        <v/>
      </c>
      <c r="H11" s="34">
        <f>H$9-H$10</f>
        <v/>
      </c>
      <c r="I11" s="34">
        <f>I$9-I$10</f>
        <v/>
      </c>
      <c r="J11" s="34">
        <f>J$9-J$10</f>
        <v/>
      </c>
      <c r="K11" s="34">
        <f>K$9-K$10</f>
        <v/>
      </c>
      <c r="L11" s="34">
        <f>L$9-L$10</f>
        <v/>
      </c>
      <c r="M11" s="34">
        <f>M$9-M$10</f>
        <v/>
      </c>
      <c r="N11" s="34">
        <f>N$9-N$10</f>
        <v/>
      </c>
    </row>
    <row r="12">
      <c r="A12" s="39" t="inlineStr">
        <is>
          <t>Accepted tasks / mo</t>
        </is>
      </c>
      <c r="C12" s="34">
        <f>C$5*tasksDay*workdays</f>
        <v/>
      </c>
      <c r="D12" s="34">
        <f>D$5*tasksDay*workdays</f>
        <v/>
      </c>
      <c r="E12" s="34">
        <f>E$5*tasksDay*workdays</f>
        <v/>
      </c>
      <c r="F12" s="34">
        <f>F$5*tasksDay*workdays</f>
        <v/>
      </c>
      <c r="G12" s="34">
        <f>G$5*tasksDay*workdays</f>
        <v/>
      </c>
      <c r="H12" s="34">
        <f>H$5*tasksDay*workdays</f>
        <v/>
      </c>
      <c r="I12" s="34">
        <f>I$5*tasksDay*workdays</f>
        <v/>
      </c>
      <c r="J12" s="34">
        <f>J$5*tasksDay*workdays</f>
        <v/>
      </c>
      <c r="K12" s="34">
        <f>K$5*tasksDay*workdays</f>
        <v/>
      </c>
      <c r="L12" s="34">
        <f>L$5*tasksDay*workdays</f>
        <v/>
      </c>
      <c r="M12" s="34">
        <f>M$5*tasksDay*workdays</f>
        <v/>
      </c>
      <c r="N12" s="34">
        <f>N$5*tasksDay*workdays</f>
        <v/>
      </c>
    </row>
    <row r="13">
      <c r="A13" s="39" t="inlineStr">
        <is>
          <t>Live sessions at once</t>
        </is>
      </c>
      <c r="C13" s="70">
        <f>C$5*sessConc</f>
        <v/>
      </c>
      <c r="D13" s="70">
        <f>D$5*sessConc</f>
        <v/>
      </c>
      <c r="E13" s="70">
        <f>E$5*sessConc</f>
        <v/>
      </c>
      <c r="F13" s="70">
        <f>F$5*sessConc</f>
        <v/>
      </c>
      <c r="G13" s="70">
        <f>G$5*sessConc</f>
        <v/>
      </c>
      <c r="H13" s="70">
        <f>H$5*sessConc</f>
        <v/>
      </c>
      <c r="I13" s="70">
        <f>I$5*sessConc</f>
        <v/>
      </c>
      <c r="J13" s="70">
        <f>J$5*sessConc</f>
        <v/>
      </c>
      <c r="K13" s="70">
        <f>K$5*sessConc</f>
        <v/>
      </c>
      <c r="L13" s="70">
        <f>L$5*sessConc</f>
        <v/>
      </c>
      <c r="M13" s="70">
        <f>M$5*sessConc</f>
        <v/>
      </c>
      <c r="N13" s="70">
        <f>N$5*sessConc</f>
        <v/>
      </c>
    </row>
    <row r="14">
      <c r="A14" s="39" t="inlineStr">
        <is>
          <t>Peak demand, open model</t>
        </is>
      </c>
      <c r="B14" s="68" t="inlineStr">
        <is>
          <t>tok/s in the busy hour</t>
        </is>
      </c>
      <c r="C14" s="34">
        <f>IF(AND(workdays&gt;0,activeHrs&gt;0),C$8*tm_o/workdays/(activeHrs*3600)*peak,0)</f>
        <v/>
      </c>
      <c r="D14" s="34">
        <f>IF(AND(workdays&gt;0,activeHrs&gt;0),D$8*tm_o/workdays/(activeHrs*3600)*peak,0)</f>
        <v/>
      </c>
      <c r="E14" s="34">
        <f>IF(AND(workdays&gt;0,activeHrs&gt;0),E$8*tm_o/workdays/(activeHrs*3600)*peak,0)</f>
        <v/>
      </c>
      <c r="F14" s="34">
        <f>IF(AND(workdays&gt;0,activeHrs&gt;0),F$8*tm_o/workdays/(activeHrs*3600)*peak,0)</f>
        <v/>
      </c>
      <c r="G14" s="34">
        <f>IF(AND(workdays&gt;0,activeHrs&gt;0),G$8*tm_o/workdays/(activeHrs*3600)*peak,0)</f>
        <v/>
      </c>
      <c r="H14" s="34">
        <f>IF(AND(workdays&gt;0,activeHrs&gt;0),H$8*tm_o/workdays/(activeHrs*3600)*peak,0)</f>
        <v/>
      </c>
      <c r="I14" s="34">
        <f>IF(AND(workdays&gt;0,activeHrs&gt;0),I$8*tm_o/workdays/(activeHrs*3600)*peak,0)</f>
        <v/>
      </c>
      <c r="J14" s="34">
        <f>IF(AND(workdays&gt;0,activeHrs&gt;0),J$8*tm_o/workdays/(activeHrs*3600)*peak,0)</f>
        <v/>
      </c>
      <c r="K14" s="34">
        <f>IF(AND(workdays&gt;0,activeHrs&gt;0),K$8*tm_o/workdays/(activeHrs*3600)*peak,0)</f>
        <v/>
      </c>
      <c r="L14" s="34">
        <f>IF(AND(workdays&gt;0,activeHrs&gt;0),L$8*tm_o/workdays/(activeHrs*3600)*peak,0)</f>
        <v/>
      </c>
      <c r="M14" s="34">
        <f>IF(AND(workdays&gt;0,activeHrs&gt;0),M$8*tm_o/workdays/(activeHrs*3600)*peak,0)</f>
        <v/>
      </c>
      <c r="N14" s="34">
        <f>IF(AND(workdays&gt;0,activeHrs&gt;0),N$8*tm_o/workdays/(activeHrs*3600)*peak,0)</f>
        <v/>
      </c>
    </row>
    <row r="15">
      <c r="A15" s="39" t="inlineStr">
        <is>
          <t>Replicas</t>
        </is>
      </c>
      <c r="C15" s="34">
        <f>IF(C$5=0,0,IF(replicaTps&gt;0,MAX(1,CEILING(C$14/replicaTps,1)),1))</f>
        <v/>
      </c>
      <c r="D15" s="34">
        <f>IF(D$5=0,0,IF(replicaTps&gt;0,MAX(1,CEILING(D$14/replicaTps,1)),1))</f>
        <v/>
      </c>
      <c r="E15" s="34">
        <f>IF(E$5=0,0,IF(replicaTps&gt;0,MAX(1,CEILING(E$14/replicaTps,1)),1))</f>
        <v/>
      </c>
      <c r="F15" s="34">
        <f>IF(F$5=0,0,IF(replicaTps&gt;0,MAX(1,CEILING(F$14/replicaTps,1)),1))</f>
        <v/>
      </c>
      <c r="G15" s="34">
        <f>IF(G$5=0,0,IF(replicaTps&gt;0,MAX(1,CEILING(G$14/replicaTps,1)),1))</f>
        <v/>
      </c>
      <c r="H15" s="34">
        <f>IF(H$5=0,0,IF(replicaTps&gt;0,MAX(1,CEILING(H$14/replicaTps,1)),1))</f>
        <v/>
      </c>
      <c r="I15" s="34">
        <f>IF(I$5=0,0,IF(replicaTps&gt;0,MAX(1,CEILING(I$14/replicaTps,1)),1))</f>
        <v/>
      </c>
      <c r="J15" s="34">
        <f>IF(J$5=0,0,IF(replicaTps&gt;0,MAX(1,CEILING(J$14/replicaTps,1)),1))</f>
        <v/>
      </c>
      <c r="K15" s="34">
        <f>IF(K$5=0,0,IF(replicaTps&gt;0,MAX(1,CEILING(K$14/replicaTps,1)),1))</f>
        <v/>
      </c>
      <c r="L15" s="34">
        <f>IF(L$5=0,0,IF(replicaTps&gt;0,MAX(1,CEILING(L$14/replicaTps,1)),1))</f>
        <v/>
      </c>
      <c r="M15" s="34">
        <f>IF(M$5=0,0,IF(replicaTps&gt;0,MAX(1,CEILING(M$14/replicaTps,1)),1))</f>
        <v/>
      </c>
      <c r="N15" s="34">
        <f>IF(N$5=0,0,IF(replicaTps&gt;0,MAX(1,CEILING(N$14/replicaTps,1)),1))</f>
        <v/>
      </c>
    </row>
    <row r="16">
      <c r="A16" s="39" t="inlineStr">
        <is>
          <t>Cards in the fleet</t>
        </is>
      </c>
      <c r="C16" s="34">
        <f>C$15*gpusPerReplica</f>
        <v/>
      </c>
      <c r="D16" s="34">
        <f>D$15*gpusPerReplica</f>
        <v/>
      </c>
      <c r="E16" s="34">
        <f>E$15*gpusPerReplica</f>
        <v/>
      </c>
      <c r="F16" s="34">
        <f>F$15*gpusPerReplica</f>
        <v/>
      </c>
      <c r="G16" s="34">
        <f>G$15*gpusPerReplica</f>
        <v/>
      </c>
      <c r="H16" s="34">
        <f>H$15*gpusPerReplica</f>
        <v/>
      </c>
      <c r="I16" s="34">
        <f>I$15*gpusPerReplica</f>
        <v/>
      </c>
      <c r="J16" s="34">
        <f>J$15*gpusPerReplica</f>
        <v/>
      </c>
      <c r="K16" s="34">
        <f>K$15*gpusPerReplica</f>
        <v/>
      </c>
      <c r="L16" s="34">
        <f>L$15*gpusPerReplica</f>
        <v/>
      </c>
      <c r="M16" s="34">
        <f>M$15*gpusPerReplica</f>
        <v/>
      </c>
      <c r="N16" s="34">
        <f>N$15*gpusPerReplica</f>
        <v/>
      </c>
    </row>
    <row r="17">
      <c r="A17" s="39" t="inlineStr">
        <is>
          <t>Hosts</t>
        </is>
      </c>
      <c r="C17" s="34">
        <f>CEILING(C$16/8,1)</f>
        <v/>
      </c>
      <c r="D17" s="34">
        <f>CEILING(D$16/8,1)</f>
        <v/>
      </c>
      <c r="E17" s="34">
        <f>CEILING(E$16/8,1)</f>
        <v/>
      </c>
      <c r="F17" s="34">
        <f>CEILING(F$16/8,1)</f>
        <v/>
      </c>
      <c r="G17" s="34">
        <f>CEILING(G$16/8,1)</f>
        <v/>
      </c>
      <c r="H17" s="34">
        <f>CEILING(H$16/8,1)</f>
        <v/>
      </c>
      <c r="I17" s="34">
        <f>CEILING(I$16/8,1)</f>
        <v/>
      </c>
      <c r="J17" s="34">
        <f>CEILING(J$16/8,1)</f>
        <v/>
      </c>
      <c r="K17" s="34">
        <f>CEILING(K$16/8,1)</f>
        <v/>
      </c>
      <c r="L17" s="34">
        <f>CEILING(L$16/8,1)</f>
        <v/>
      </c>
      <c r="M17" s="34">
        <f>CEILING(M$16/8,1)</f>
        <v/>
      </c>
      <c r="N17" s="34">
        <f>CEILING(N$16/8,1)</f>
        <v/>
      </c>
    </row>
    <row r="18">
      <c r="A18" s="39" t="inlineStr">
        <is>
          <t>Sustained fleet tok/s</t>
        </is>
      </c>
      <c r="C18" s="34">
        <f>C$15*replicaTps</f>
        <v/>
      </c>
      <c r="D18" s="34">
        <f>D$15*replicaTps</f>
        <v/>
      </c>
      <c r="E18" s="34">
        <f>E$15*replicaTps</f>
        <v/>
      </c>
      <c r="F18" s="34">
        <f>F$15*replicaTps</f>
        <v/>
      </c>
      <c r="G18" s="34">
        <f>G$15*replicaTps</f>
        <v/>
      </c>
      <c r="H18" s="34">
        <f>H$15*replicaTps</f>
        <v/>
      </c>
      <c r="I18" s="34">
        <f>I$15*replicaTps</f>
        <v/>
      </c>
      <c r="J18" s="34">
        <f>J$15*replicaTps</f>
        <v/>
      </c>
      <c r="K18" s="34">
        <f>K$15*replicaTps</f>
        <v/>
      </c>
      <c r="L18" s="34">
        <f>L$15*replicaTps</f>
        <v/>
      </c>
      <c r="M18" s="34">
        <f>M$15*replicaTps</f>
        <v/>
      </c>
      <c r="N18" s="34">
        <f>N$15*replicaTps</f>
        <v/>
      </c>
    </row>
    <row r="19">
      <c r="A19" s="39" t="inlineStr">
        <is>
          <t>Hardware capital</t>
        </is>
      </c>
      <c r="C19" s="31">
        <f>C$16*gpuBuy*(1+spares)+C$17*(hostCost+netFabric+installHost)</f>
        <v/>
      </c>
      <c r="D19" s="31">
        <f>D$16*gpuBuy*(1+spares)+D$17*(hostCost+netFabric+installHost)</f>
        <v/>
      </c>
      <c r="E19" s="31">
        <f>E$16*gpuBuy*(1+spares)+E$17*(hostCost+netFabric+installHost)</f>
        <v/>
      </c>
      <c r="F19" s="31">
        <f>F$16*gpuBuy*(1+spares)+F$17*(hostCost+netFabric+installHost)</f>
        <v/>
      </c>
      <c r="G19" s="31">
        <f>G$16*gpuBuy*(1+spares)+G$17*(hostCost+netFabric+installHost)</f>
        <v/>
      </c>
      <c r="H19" s="31">
        <f>H$16*gpuBuy*(1+spares)+H$17*(hostCost+netFabric+installHost)</f>
        <v/>
      </c>
      <c r="I19" s="31">
        <f>I$16*gpuBuy*(1+spares)+I$17*(hostCost+netFabric+installHost)</f>
        <v/>
      </c>
      <c r="J19" s="31">
        <f>J$16*gpuBuy*(1+spares)+J$17*(hostCost+netFabric+installHost)</f>
        <v/>
      </c>
      <c r="K19" s="31">
        <f>K$16*gpuBuy*(1+spares)+K$17*(hostCost+netFabric+installHost)</f>
        <v/>
      </c>
      <c r="L19" s="31">
        <f>L$16*gpuBuy*(1+spares)+L$17*(hostCost+netFabric+installHost)</f>
        <v/>
      </c>
      <c r="M19" s="31">
        <f>M$16*gpuBuy*(1+spares)+M$17*(hostCost+netFabric+installHost)</f>
        <v/>
      </c>
      <c r="N19" s="31">
        <f>N$16*gpuBuy*(1+spares)+N$17*(hostCost+netFabric+installHost)</f>
        <v/>
      </c>
    </row>
    <row r="20">
      <c r="A20" s="39" t="inlineStr">
        <is>
          <t>Setup labour</t>
        </is>
      </c>
      <c r="C20" s="31">
        <f>IF(labourYN="Yes",(setupArch+C$17*setupRack+setupStack+setupEval+setupSec)*engHr,0)</f>
        <v/>
      </c>
      <c r="D20" s="31">
        <f>IF(labourYN="Yes",(setupArch+D$17*setupRack+setupStack+setupEval+setupSec)*engHr,0)</f>
        <v/>
      </c>
      <c r="E20" s="31">
        <f>IF(labourYN="Yes",(setupArch+E$17*setupRack+setupStack+setupEval+setupSec)*engHr,0)</f>
        <v/>
      </c>
      <c r="F20" s="31">
        <f>IF(labourYN="Yes",(setupArch+F$17*setupRack+setupStack+setupEval+setupSec)*engHr,0)</f>
        <v/>
      </c>
      <c r="G20" s="31">
        <f>IF(labourYN="Yes",(setupArch+G$17*setupRack+setupStack+setupEval+setupSec)*engHr,0)</f>
        <v/>
      </c>
      <c r="H20" s="31">
        <f>IF(labourYN="Yes",(setupArch+H$17*setupRack+setupStack+setupEval+setupSec)*engHr,0)</f>
        <v/>
      </c>
      <c r="I20" s="31">
        <f>IF(labourYN="Yes",(setupArch+I$17*setupRack+setupStack+setupEval+setupSec)*engHr,0)</f>
        <v/>
      </c>
      <c r="J20" s="31">
        <f>IF(labourYN="Yes",(setupArch+J$17*setupRack+setupStack+setupEval+setupSec)*engHr,0)</f>
        <v/>
      </c>
      <c r="K20" s="31">
        <f>IF(labourYN="Yes",(setupArch+K$17*setupRack+setupStack+setupEval+setupSec)*engHr,0)</f>
        <v/>
      </c>
      <c r="L20" s="31">
        <f>IF(labourYN="Yes",(setupArch+L$17*setupRack+setupStack+setupEval+setupSec)*engHr,0)</f>
        <v/>
      </c>
      <c r="M20" s="31">
        <f>IF(labourYN="Yes",(setupArch+M$17*setupRack+setupStack+setupEval+setupSec)*engHr,0)</f>
        <v/>
      </c>
      <c r="N20" s="31">
        <f>IF(labourYN="Yes",(setupArch+N$17*setupRack+setupStack+setupEval+setupSec)*engHr,0)</f>
        <v/>
      </c>
    </row>
    <row r="21">
      <c r="A21" s="39" t="inlineStr">
        <is>
          <t>Staffing ramp</t>
        </is>
      </c>
      <c r="C21" s="71">
        <f>IF(platformAt&gt;soloAt,MIN(1,MAX(0,(C$5-soloAt)/(platformAt-soloAt))),IF(C$5&gt;soloAt,1,0))</f>
        <v/>
      </c>
      <c r="D21" s="71">
        <f>IF(platformAt&gt;soloAt,MIN(1,MAX(0,(D$5-soloAt)/(platformAt-soloAt))),IF(D$5&gt;soloAt,1,0))</f>
        <v/>
      </c>
      <c r="E21" s="71">
        <f>IF(platformAt&gt;soloAt,MIN(1,MAX(0,(E$5-soloAt)/(platformAt-soloAt))),IF(E$5&gt;soloAt,1,0))</f>
        <v/>
      </c>
      <c r="F21" s="71">
        <f>IF(platformAt&gt;soloAt,MIN(1,MAX(0,(F$5-soloAt)/(platformAt-soloAt))),IF(F$5&gt;soloAt,1,0))</f>
        <v/>
      </c>
      <c r="G21" s="71">
        <f>IF(platformAt&gt;soloAt,MIN(1,MAX(0,(G$5-soloAt)/(platformAt-soloAt))),IF(G$5&gt;soloAt,1,0))</f>
        <v/>
      </c>
      <c r="H21" s="71">
        <f>IF(platformAt&gt;soloAt,MIN(1,MAX(0,(H$5-soloAt)/(platformAt-soloAt))),IF(H$5&gt;soloAt,1,0))</f>
        <v/>
      </c>
      <c r="I21" s="71">
        <f>IF(platformAt&gt;soloAt,MIN(1,MAX(0,(I$5-soloAt)/(platformAt-soloAt))),IF(I$5&gt;soloAt,1,0))</f>
        <v/>
      </c>
      <c r="J21" s="71">
        <f>IF(platformAt&gt;soloAt,MIN(1,MAX(0,(J$5-soloAt)/(platformAt-soloAt))),IF(J$5&gt;soloAt,1,0))</f>
        <v/>
      </c>
      <c r="K21" s="71">
        <f>IF(platformAt&gt;soloAt,MIN(1,MAX(0,(K$5-soloAt)/(platformAt-soloAt))),IF(K$5&gt;soloAt,1,0))</f>
        <v/>
      </c>
      <c r="L21" s="71">
        <f>IF(platformAt&gt;soloAt,MIN(1,MAX(0,(L$5-soloAt)/(platformAt-soloAt))),IF(L$5&gt;soloAt,1,0))</f>
        <v/>
      </c>
      <c r="M21" s="71">
        <f>IF(platformAt&gt;soloAt,MIN(1,MAX(0,(M$5-soloAt)/(platformAt-soloAt))),IF(M$5&gt;soloAt,1,0))</f>
        <v/>
      </c>
      <c r="N21" s="71">
        <f>IF(platformAt&gt;soloAt,MIN(1,MAX(0,(N$5-soloAt)/(platformAt-soloAt))),IF(N$5&gt;soloAt,1,0))</f>
        <v/>
      </c>
    </row>
    <row r="22">
      <c r="A22" s="39" t="inlineStr">
        <is>
          <t>Baseline platform team</t>
        </is>
      </c>
      <c r="C22" s="31">
        <f>IF(AND(labourYN="Yes",ownsPlatform="No"),platformFte*fteMo*C$21,0)</f>
        <v/>
      </c>
      <c r="D22" s="31">
        <f>IF(AND(labourYN="Yes",ownsPlatform="No"),platformFte*fteMo*D$21,0)</f>
        <v/>
      </c>
      <c r="E22" s="31">
        <f>IF(AND(labourYN="Yes",ownsPlatform="No"),platformFte*fteMo*E$21,0)</f>
        <v/>
      </c>
      <c r="F22" s="31">
        <f>IF(AND(labourYN="Yes",ownsPlatform="No"),platformFte*fteMo*F$21,0)</f>
        <v/>
      </c>
      <c r="G22" s="31">
        <f>IF(AND(labourYN="Yes",ownsPlatform="No"),platformFte*fteMo*G$21,0)</f>
        <v/>
      </c>
      <c r="H22" s="31">
        <f>IF(AND(labourYN="Yes",ownsPlatform="No"),platformFte*fteMo*H$21,0)</f>
        <v/>
      </c>
      <c r="I22" s="31">
        <f>IF(AND(labourYN="Yes",ownsPlatform="No"),platformFte*fteMo*I$21,0)</f>
        <v/>
      </c>
      <c r="J22" s="31">
        <f>IF(AND(labourYN="Yes",ownsPlatform="No"),platformFte*fteMo*J$21,0)</f>
        <v/>
      </c>
      <c r="K22" s="31">
        <f>IF(AND(labourYN="Yes",ownsPlatform="No"),platformFte*fteMo*K$21,0)</f>
        <v/>
      </c>
      <c r="L22" s="31">
        <f>IF(AND(labourYN="Yes",ownsPlatform="No"),platformFte*fteMo*L$21,0)</f>
        <v/>
      </c>
      <c r="M22" s="31">
        <f>IF(AND(labourYN="Yes",ownsPlatform="No"),platformFte*fteMo*M$21,0)</f>
        <v/>
      </c>
      <c r="N22" s="31">
        <f>IF(AND(labourYN="Yes",ownsPlatform="No"),platformFte*fteMo*N$21,0)</f>
        <v/>
      </c>
    </row>
    <row r="23">
      <c r="A23" s="39" t="inlineStr">
        <is>
          <t>Fleet admin</t>
        </is>
      </c>
      <c r="C23" s="31">
        <f>IF(labourYN="Yes",adminFte*fteMo*C$21,0)</f>
        <v/>
      </c>
      <c r="D23" s="31">
        <f>IF(labourYN="Yes",adminFte*fteMo*D$21,0)</f>
        <v/>
      </c>
      <c r="E23" s="31">
        <f>IF(labourYN="Yes",adminFte*fteMo*E$21,0)</f>
        <v/>
      </c>
      <c r="F23" s="31">
        <f>IF(labourYN="Yes",adminFte*fteMo*F$21,0)</f>
        <v/>
      </c>
      <c r="G23" s="31">
        <f>IF(labourYN="Yes",adminFte*fteMo*G$21,0)</f>
        <v/>
      </c>
      <c r="H23" s="31">
        <f>IF(labourYN="Yes",adminFte*fteMo*H$21,0)</f>
        <v/>
      </c>
      <c r="I23" s="31">
        <f>IF(labourYN="Yes",adminFte*fteMo*I$21,0)</f>
        <v/>
      </c>
      <c r="J23" s="31">
        <f>IF(labourYN="Yes",adminFte*fteMo*J$21,0)</f>
        <v/>
      </c>
      <c r="K23" s="31">
        <f>IF(labourYN="Yes",adminFte*fteMo*K$21,0)</f>
        <v/>
      </c>
      <c r="L23" s="31">
        <f>IF(labourYN="Yes",adminFte*fteMo*L$21,0)</f>
        <v/>
      </c>
      <c r="M23" s="31">
        <f>IF(labourYN="Yes",adminFte*fteMo*M$21,0)</f>
        <v/>
      </c>
      <c r="N23" s="31">
        <f>IF(labourYN="Yes",adminFte*fteMo*N$21,0)</f>
        <v/>
      </c>
    </row>
    <row r="24">
      <c r="A24" s="39" t="inlineStr">
        <is>
          <t>Cloud plumbing</t>
        </is>
      </c>
      <c r="C24" s="31">
        <f>IF(labourYN="Yes",cloudOps*fteMo*C$21,0)</f>
        <v/>
      </c>
      <c r="D24" s="31">
        <f>IF(labourYN="Yes",cloudOps*fteMo*D$21,0)</f>
        <v/>
      </c>
      <c r="E24" s="31">
        <f>IF(labourYN="Yes",cloudOps*fteMo*E$21,0)</f>
        <v/>
      </c>
      <c r="F24" s="31">
        <f>IF(labourYN="Yes",cloudOps*fteMo*F$21,0)</f>
        <v/>
      </c>
      <c r="G24" s="31">
        <f>IF(labourYN="Yes",cloudOps*fteMo*G$21,0)</f>
        <v/>
      </c>
      <c r="H24" s="31">
        <f>IF(labourYN="Yes",cloudOps*fteMo*H$21,0)</f>
        <v/>
      </c>
      <c r="I24" s="31">
        <f>IF(labourYN="Yes",cloudOps*fteMo*I$21,0)</f>
        <v/>
      </c>
      <c r="J24" s="31">
        <f>IF(labourYN="Yes",cloudOps*fteMo*J$21,0)</f>
        <v/>
      </c>
      <c r="K24" s="31">
        <f>IF(labourYN="Yes",cloudOps*fteMo*K$21,0)</f>
        <v/>
      </c>
      <c r="L24" s="31">
        <f>IF(labourYN="Yes",cloudOps*fteMo*L$21,0)</f>
        <v/>
      </c>
      <c r="M24" s="31">
        <f>IF(labourYN="Yes",cloudOps*fteMo*M$21,0)</f>
        <v/>
      </c>
      <c r="N24" s="31">
        <f>IF(labourYN="Yes",cloudOps*fteMo*N$21,0)</f>
        <v/>
      </c>
    </row>
    <row r="25">
      <c r="A25" s="39" t="inlineStr">
        <is>
          <t>Fleet draw kW</t>
        </is>
      </c>
      <c r="C25" s="70">
        <f>C$16*gpuW/1000*1.25</f>
        <v/>
      </c>
      <c r="D25" s="70">
        <f>D$16*gpuW/1000*1.25</f>
        <v/>
      </c>
      <c r="E25" s="70">
        <f>E$16*gpuW/1000*1.25</f>
        <v/>
      </c>
      <c r="F25" s="70">
        <f>F$16*gpuW/1000*1.25</f>
        <v/>
      </c>
      <c r="G25" s="70">
        <f>G$16*gpuW/1000*1.25</f>
        <v/>
      </c>
      <c r="H25" s="70">
        <f>H$16*gpuW/1000*1.25</f>
        <v/>
      </c>
      <c r="I25" s="70">
        <f>I$16*gpuW/1000*1.25</f>
        <v/>
      </c>
      <c r="J25" s="70">
        <f>J$16*gpuW/1000*1.25</f>
        <v/>
      </c>
      <c r="K25" s="70">
        <f>K$16*gpuW/1000*1.25</f>
        <v/>
      </c>
      <c r="L25" s="70">
        <f>L$16*gpuW/1000*1.25</f>
        <v/>
      </c>
      <c r="M25" s="70">
        <f>M$16*gpuW/1000*1.25</f>
        <v/>
      </c>
      <c r="N25" s="70">
        <f>N$16*gpuW/1000*1.25</f>
        <v/>
      </c>
    </row>
    <row r="26">
      <c r="A26" s="39" t="inlineStr">
        <is>
          <t>Developer time, open model</t>
        </is>
      </c>
      <c r="C26" s="31">
        <f>C$5*tasksDay*workdays*MAX(0,mins_o-baseMins)/60*devRate</f>
        <v/>
      </c>
      <c r="D26" s="31">
        <f>D$5*tasksDay*workdays*MAX(0,mins_o-baseMins)/60*devRate</f>
        <v/>
      </c>
      <c r="E26" s="31">
        <f>E$5*tasksDay*workdays*MAX(0,mins_o-baseMins)/60*devRate</f>
        <v/>
      </c>
      <c r="F26" s="31">
        <f>F$5*tasksDay*workdays*MAX(0,mins_o-baseMins)/60*devRate</f>
        <v/>
      </c>
      <c r="G26" s="31">
        <f>G$5*tasksDay*workdays*MAX(0,mins_o-baseMins)/60*devRate</f>
        <v/>
      </c>
      <c r="H26" s="31">
        <f>H$5*tasksDay*workdays*MAX(0,mins_o-baseMins)/60*devRate</f>
        <v/>
      </c>
      <c r="I26" s="31">
        <f>I$5*tasksDay*workdays*MAX(0,mins_o-baseMins)/60*devRate</f>
        <v/>
      </c>
      <c r="J26" s="31">
        <f>J$5*tasksDay*workdays*MAX(0,mins_o-baseMins)/60*devRate</f>
        <v/>
      </c>
      <c r="K26" s="31">
        <f>K$5*tasksDay*workdays*MAX(0,mins_o-baseMins)/60*devRate</f>
        <v/>
      </c>
      <c r="L26" s="31">
        <f>L$5*tasksDay*workdays*MAX(0,mins_o-baseMins)/60*devRate</f>
        <v/>
      </c>
      <c r="M26" s="31">
        <f>M$5*tasksDay*workdays*MAX(0,mins_o-baseMins)/60*devRate</f>
        <v/>
      </c>
      <c r="N26" s="31">
        <f>N$5*tasksDay*workdays*MAX(0,mins_o-baseMins)/60*devRate</f>
        <v/>
      </c>
    </row>
    <row r="27">
      <c r="A27" s="39" t="inlineStr">
        <is>
          <t>Developer time, frontier</t>
        </is>
      </c>
      <c r="C27" s="31">
        <f>C$5*tasksDay*workdays*MAX(0,mins_f-baseMins)/60*devRate</f>
        <v/>
      </c>
      <c r="D27" s="31">
        <f>D$5*tasksDay*workdays*MAX(0,mins_f-baseMins)/60*devRate</f>
        <v/>
      </c>
      <c r="E27" s="31">
        <f>E$5*tasksDay*workdays*MAX(0,mins_f-baseMins)/60*devRate</f>
        <v/>
      </c>
      <c r="F27" s="31">
        <f>F$5*tasksDay*workdays*MAX(0,mins_f-baseMins)/60*devRate</f>
        <v/>
      </c>
      <c r="G27" s="31">
        <f>G$5*tasksDay*workdays*MAX(0,mins_f-baseMins)/60*devRate</f>
        <v/>
      </c>
      <c r="H27" s="31">
        <f>H$5*tasksDay*workdays*MAX(0,mins_f-baseMins)/60*devRate</f>
        <v/>
      </c>
      <c r="I27" s="31">
        <f>I$5*tasksDay*workdays*MAX(0,mins_f-baseMins)/60*devRate</f>
        <v/>
      </c>
      <c r="J27" s="31">
        <f>J$5*tasksDay*workdays*MAX(0,mins_f-baseMins)/60*devRate</f>
        <v/>
      </c>
      <c r="K27" s="31">
        <f>K$5*tasksDay*workdays*MAX(0,mins_f-baseMins)/60*devRate</f>
        <v/>
      </c>
      <c r="L27" s="31">
        <f>L$5*tasksDay*workdays*MAX(0,mins_f-baseMins)/60*devRate</f>
        <v/>
      </c>
      <c r="M27" s="31">
        <f>M$5*tasksDay*workdays*MAX(0,mins_f-baseMins)/60*devRate</f>
        <v/>
      </c>
      <c r="N27" s="31">
        <f>N$5*tasksDay*workdays*MAX(0,mins_f-baseMins)/60*devRate</f>
        <v/>
      </c>
    </row>
    <row r="28">
      <c r="A28" s="39" t="inlineStr">
        <is>
          <t>Developer time, hybrid</t>
        </is>
      </c>
      <c r="C28" s="31">
        <f>C$5*tasksDay*workdays*MAX(0,mins_h-baseMins)/60*devRate</f>
        <v/>
      </c>
      <c r="D28" s="31">
        <f>D$5*tasksDay*workdays*MAX(0,mins_h-baseMins)/60*devRate</f>
        <v/>
      </c>
      <c r="E28" s="31">
        <f>E$5*tasksDay*workdays*MAX(0,mins_h-baseMins)/60*devRate</f>
        <v/>
      </c>
      <c r="F28" s="31">
        <f>F$5*tasksDay*workdays*MAX(0,mins_h-baseMins)/60*devRate</f>
        <v/>
      </c>
      <c r="G28" s="31">
        <f>G$5*tasksDay*workdays*MAX(0,mins_h-baseMins)/60*devRate</f>
        <v/>
      </c>
      <c r="H28" s="31">
        <f>H$5*tasksDay*workdays*MAX(0,mins_h-baseMins)/60*devRate</f>
        <v/>
      </c>
      <c r="I28" s="31">
        <f>I$5*tasksDay*workdays*MAX(0,mins_h-baseMins)/60*devRate</f>
        <v/>
      </c>
      <c r="J28" s="31">
        <f>J$5*tasksDay*workdays*MAX(0,mins_h-baseMins)/60*devRate</f>
        <v/>
      </c>
      <c r="K28" s="31">
        <f>K$5*tasksDay*workdays*MAX(0,mins_h-baseMins)/60*devRate</f>
        <v/>
      </c>
      <c r="L28" s="31">
        <f>L$5*tasksDay*workdays*MAX(0,mins_h-baseMins)/60*devRate</f>
        <v/>
      </c>
      <c r="M28" s="31">
        <f>M$5*tasksDay*workdays*MAX(0,mins_h-baseMins)/60*devRate</f>
        <v/>
      </c>
      <c r="N28" s="31">
        <f>N$5*tasksDay*workdays*MAX(0,mins_h-baseMins)/60*devRate</f>
        <v/>
      </c>
    </row>
    <row r="29">
      <c r="A29" s="39" t="inlineStr">
        <is>
          <t>Peak demand, hybrid open tier</t>
        </is>
      </c>
      <c r="C29" s="34">
        <f>IF(AND(workdays&gt;0,activeHrs&gt;0),C$8*own_h/workdays/(activeHrs*3600)*peak,0)</f>
        <v/>
      </c>
      <c r="D29" s="34">
        <f>IF(AND(workdays&gt;0,activeHrs&gt;0),D$8*own_h/workdays/(activeHrs*3600)*peak,0)</f>
        <v/>
      </c>
      <c r="E29" s="34">
        <f>IF(AND(workdays&gt;0,activeHrs&gt;0),E$8*own_h/workdays/(activeHrs*3600)*peak,0)</f>
        <v/>
      </c>
      <c r="F29" s="34">
        <f>IF(AND(workdays&gt;0,activeHrs&gt;0),F$8*own_h/workdays/(activeHrs*3600)*peak,0)</f>
        <v/>
      </c>
      <c r="G29" s="34">
        <f>IF(AND(workdays&gt;0,activeHrs&gt;0),G$8*own_h/workdays/(activeHrs*3600)*peak,0)</f>
        <v/>
      </c>
      <c r="H29" s="34">
        <f>IF(AND(workdays&gt;0,activeHrs&gt;0),H$8*own_h/workdays/(activeHrs*3600)*peak,0)</f>
        <v/>
      </c>
      <c r="I29" s="34">
        <f>IF(AND(workdays&gt;0,activeHrs&gt;0),I$8*own_h/workdays/(activeHrs*3600)*peak,0)</f>
        <v/>
      </c>
      <c r="J29" s="34">
        <f>IF(AND(workdays&gt;0,activeHrs&gt;0),J$8*own_h/workdays/(activeHrs*3600)*peak,0)</f>
        <v/>
      </c>
      <c r="K29" s="34">
        <f>IF(AND(workdays&gt;0,activeHrs&gt;0),K$8*own_h/workdays/(activeHrs*3600)*peak,0)</f>
        <v/>
      </c>
      <c r="L29" s="34">
        <f>IF(AND(workdays&gt;0,activeHrs&gt;0),L$8*own_h/workdays/(activeHrs*3600)*peak,0)</f>
        <v/>
      </c>
      <c r="M29" s="34">
        <f>IF(AND(workdays&gt;0,activeHrs&gt;0),M$8*own_h/workdays/(activeHrs*3600)*peak,0)</f>
        <v/>
      </c>
      <c r="N29" s="34">
        <f>IF(AND(workdays&gt;0,activeHrs&gt;0),N$8*own_h/workdays/(activeHrs*3600)*peak,0)</f>
        <v/>
      </c>
    </row>
    <row r="30">
      <c r="A30" s="39" t="inlineStr">
        <is>
          <t>Hybrid replicas</t>
        </is>
      </c>
      <c r="C30" s="34">
        <f>IF(C$5=0,0,IF(replicaTps&gt;0,MAX(1,CEILING(C$29/replicaTps,1)),1))</f>
        <v/>
      </c>
      <c r="D30" s="34">
        <f>IF(D$5=0,0,IF(replicaTps&gt;0,MAX(1,CEILING(D$29/replicaTps,1)),1))</f>
        <v/>
      </c>
      <c r="E30" s="34">
        <f>IF(E$5=0,0,IF(replicaTps&gt;0,MAX(1,CEILING(E$29/replicaTps,1)),1))</f>
        <v/>
      </c>
      <c r="F30" s="34">
        <f>IF(F$5=0,0,IF(replicaTps&gt;0,MAX(1,CEILING(F$29/replicaTps,1)),1))</f>
        <v/>
      </c>
      <c r="G30" s="34">
        <f>IF(G$5=0,0,IF(replicaTps&gt;0,MAX(1,CEILING(G$29/replicaTps,1)),1))</f>
        <v/>
      </c>
      <c r="H30" s="34">
        <f>IF(H$5=0,0,IF(replicaTps&gt;0,MAX(1,CEILING(H$29/replicaTps,1)),1))</f>
        <v/>
      </c>
      <c r="I30" s="34">
        <f>IF(I$5=0,0,IF(replicaTps&gt;0,MAX(1,CEILING(I$29/replicaTps,1)),1))</f>
        <v/>
      </c>
      <c r="J30" s="34">
        <f>IF(J$5=0,0,IF(replicaTps&gt;0,MAX(1,CEILING(J$29/replicaTps,1)),1))</f>
        <v/>
      </c>
      <c r="K30" s="34">
        <f>IF(K$5=0,0,IF(replicaTps&gt;0,MAX(1,CEILING(K$29/replicaTps,1)),1))</f>
        <v/>
      </c>
      <c r="L30" s="34">
        <f>IF(L$5=0,0,IF(replicaTps&gt;0,MAX(1,CEILING(L$29/replicaTps,1)),1))</f>
        <v/>
      </c>
      <c r="M30" s="34">
        <f>IF(M$5=0,0,IF(replicaTps&gt;0,MAX(1,CEILING(M$29/replicaTps,1)),1))</f>
        <v/>
      </c>
      <c r="N30" s="34">
        <f>IF(N$5=0,0,IF(replicaTps&gt;0,MAX(1,CEILING(N$29/replicaTps,1)),1))</f>
        <v/>
      </c>
    </row>
    <row r="31">
      <c r="A31" s="39" t="inlineStr">
        <is>
          <t>Hybrid cards</t>
        </is>
      </c>
      <c r="C31" s="34">
        <f>C$30*gpusPerReplica</f>
        <v/>
      </c>
      <c r="D31" s="34">
        <f>D$30*gpusPerReplica</f>
        <v/>
      </c>
      <c r="E31" s="34">
        <f>E$30*gpusPerReplica</f>
        <v/>
      </c>
      <c r="F31" s="34">
        <f>F$30*gpusPerReplica</f>
        <v/>
      </c>
      <c r="G31" s="34">
        <f>G$30*gpusPerReplica</f>
        <v/>
      </c>
      <c r="H31" s="34">
        <f>H$30*gpusPerReplica</f>
        <v/>
      </c>
      <c r="I31" s="34">
        <f>I$30*gpusPerReplica</f>
        <v/>
      </c>
      <c r="J31" s="34">
        <f>J$30*gpusPerReplica</f>
        <v/>
      </c>
      <c r="K31" s="34">
        <f>K$30*gpusPerReplica</f>
        <v/>
      </c>
      <c r="L31" s="34">
        <f>L$30*gpusPerReplica</f>
        <v/>
      </c>
      <c r="M31" s="34">
        <f>M$30*gpusPerReplica</f>
        <v/>
      </c>
      <c r="N31" s="34">
        <f>N$30*gpusPerReplica</f>
        <v/>
      </c>
    </row>
    <row r="32">
      <c r="A32" s="39" t="inlineStr">
        <is>
          <t>Hybrid hosts</t>
        </is>
      </c>
      <c r="C32" s="34">
        <f>CEILING(C$31/8,1)</f>
        <v/>
      </c>
      <c r="D32" s="34">
        <f>CEILING(D$31/8,1)</f>
        <v/>
      </c>
      <c r="E32" s="34">
        <f>CEILING(E$31/8,1)</f>
        <v/>
      </c>
      <c r="F32" s="34">
        <f>CEILING(F$31/8,1)</f>
        <v/>
      </c>
      <c r="G32" s="34">
        <f>CEILING(G$31/8,1)</f>
        <v/>
      </c>
      <c r="H32" s="34">
        <f>CEILING(H$31/8,1)</f>
        <v/>
      </c>
      <c r="I32" s="34">
        <f>CEILING(I$31/8,1)</f>
        <v/>
      </c>
      <c r="J32" s="34">
        <f>CEILING(J$31/8,1)</f>
        <v/>
      </c>
      <c r="K32" s="34">
        <f>CEILING(K$31/8,1)</f>
        <v/>
      </c>
      <c r="L32" s="34">
        <f>CEILING(L$31/8,1)</f>
        <v/>
      </c>
      <c r="M32" s="34">
        <f>CEILING(M$31/8,1)</f>
        <v/>
      </c>
      <c r="N32" s="34">
        <f>CEILING(N$31/8,1)</f>
        <v/>
      </c>
    </row>
    <row r="33">
      <c r="A33" s="39" t="inlineStr">
        <is>
          <t>Hybrid hardware capital</t>
        </is>
      </c>
      <c r="C33" s="31">
        <f>C$31*gpuBuy*(1+spares)+C$32*(hostCost+netFabric+installHost)</f>
        <v/>
      </c>
      <c r="D33" s="31">
        <f>D$31*gpuBuy*(1+spares)+D$32*(hostCost+netFabric+installHost)</f>
        <v/>
      </c>
      <c r="E33" s="31">
        <f>E$31*gpuBuy*(1+spares)+E$32*(hostCost+netFabric+installHost)</f>
        <v/>
      </c>
      <c r="F33" s="31">
        <f>F$31*gpuBuy*(1+spares)+F$32*(hostCost+netFabric+installHost)</f>
        <v/>
      </c>
      <c r="G33" s="31">
        <f>G$31*gpuBuy*(1+spares)+G$32*(hostCost+netFabric+installHost)</f>
        <v/>
      </c>
      <c r="H33" s="31">
        <f>H$31*gpuBuy*(1+spares)+H$32*(hostCost+netFabric+installHost)</f>
        <v/>
      </c>
      <c r="I33" s="31">
        <f>I$31*gpuBuy*(1+spares)+I$32*(hostCost+netFabric+installHost)</f>
        <v/>
      </c>
      <c r="J33" s="31">
        <f>J$31*gpuBuy*(1+spares)+J$32*(hostCost+netFabric+installHost)</f>
        <v/>
      </c>
      <c r="K33" s="31">
        <f>K$31*gpuBuy*(1+spares)+K$32*(hostCost+netFabric+installHost)</f>
        <v/>
      </c>
      <c r="L33" s="31">
        <f>L$31*gpuBuy*(1+spares)+L$32*(hostCost+netFabric+installHost)</f>
        <v/>
      </c>
      <c r="M33" s="31">
        <f>M$31*gpuBuy*(1+spares)+M$32*(hostCost+netFabric+installHost)</f>
        <v/>
      </c>
      <c r="N33" s="31">
        <f>N$31*gpuBuy*(1+spares)+N$32*(hostCost+netFabric+installHost)</f>
        <v/>
      </c>
    </row>
    <row r="34">
      <c r="A34" s="39" t="inlineStr">
        <is>
          <t>Hybrid, if bought</t>
        </is>
      </c>
      <c r="C34" s="31">
        <f>C$33/amort+C$31*gpuW/1000*1.25*(pue*730*kwhDc+coloKw)+storMo+C$33*warranty/12+C$20/amort</f>
        <v/>
      </c>
      <c r="D34" s="31">
        <f>D$33/amort+D$31*gpuW/1000*1.25*(pue*730*kwhDc+coloKw)+storMo+D$33*warranty/12+D$20/amort</f>
        <v/>
      </c>
      <c r="E34" s="31">
        <f>E$33/amort+E$31*gpuW/1000*1.25*(pue*730*kwhDc+coloKw)+storMo+E$33*warranty/12+E$20/amort</f>
        <v/>
      </c>
      <c r="F34" s="31">
        <f>F$33/amort+F$31*gpuW/1000*1.25*(pue*730*kwhDc+coloKw)+storMo+F$33*warranty/12+F$20/amort</f>
        <v/>
      </c>
      <c r="G34" s="31">
        <f>G$33/amort+G$31*gpuW/1000*1.25*(pue*730*kwhDc+coloKw)+storMo+G$33*warranty/12+G$20/amort</f>
        <v/>
      </c>
      <c r="H34" s="31">
        <f>H$33/amort+H$31*gpuW/1000*1.25*(pue*730*kwhDc+coloKw)+storMo+H$33*warranty/12+H$20/amort</f>
        <v/>
      </c>
      <c r="I34" s="31">
        <f>I$33/amort+I$31*gpuW/1000*1.25*(pue*730*kwhDc+coloKw)+storMo+I$33*warranty/12+I$20/amort</f>
        <v/>
      </c>
      <c r="J34" s="31">
        <f>J$33/amort+J$31*gpuW/1000*1.25*(pue*730*kwhDc+coloKw)+storMo+J$33*warranty/12+J$20/amort</f>
        <v/>
      </c>
      <c r="K34" s="31">
        <f>K$33/amort+K$31*gpuW/1000*1.25*(pue*730*kwhDc+coloKw)+storMo+K$33*warranty/12+K$20/amort</f>
        <v/>
      </c>
      <c r="L34" s="31">
        <f>L$33/amort+L$31*gpuW/1000*1.25*(pue*730*kwhDc+coloKw)+storMo+L$33*warranty/12+L$20/amort</f>
        <v/>
      </c>
      <c r="M34" s="31">
        <f>M$33/amort+M$31*gpuW/1000*1.25*(pue*730*kwhDc+coloKw)+storMo+M$33*warranty/12+M$20/amort</f>
        <v/>
      </c>
      <c r="N34" s="31">
        <f>N$33/amort+N$31*gpuW/1000*1.25*(pue*730*kwhDc+coloKw)+storMo+N$33*warranty/12+N$20/amort</f>
        <v/>
      </c>
    </row>
    <row r="35">
      <c r="A35" s="39" t="inlineStr">
        <is>
          <t>Hybrid, if rented</t>
        </is>
      </c>
      <c r="C35" s="31">
        <f>C$31*gpuRent*730*rentUtil+storMo+rentSetup/amort</f>
        <v/>
      </c>
      <c r="D35" s="31">
        <f>D$31*gpuRent*730*rentUtil+storMo+rentSetup/amort</f>
        <v/>
      </c>
      <c r="E35" s="31">
        <f>E$31*gpuRent*730*rentUtil+storMo+rentSetup/amort</f>
        <v/>
      </c>
      <c r="F35" s="31">
        <f>F$31*gpuRent*730*rentUtil+storMo+rentSetup/amort</f>
        <v/>
      </c>
      <c r="G35" s="31">
        <f>G$31*gpuRent*730*rentUtil+storMo+rentSetup/amort</f>
        <v/>
      </c>
      <c r="H35" s="31">
        <f>H$31*gpuRent*730*rentUtil+storMo+rentSetup/amort</f>
        <v/>
      </c>
      <c r="I35" s="31">
        <f>I$31*gpuRent*730*rentUtil+storMo+rentSetup/amort</f>
        <v/>
      </c>
      <c r="J35" s="31">
        <f>J$31*gpuRent*730*rentUtil+storMo+rentSetup/amort</f>
        <v/>
      </c>
      <c r="K35" s="31">
        <f>K$31*gpuRent*730*rentUtil+storMo+rentSetup/amort</f>
        <v/>
      </c>
      <c r="L35" s="31">
        <f>L$31*gpuRent*730*rentUtil+storMo+rentSetup/amort</f>
        <v/>
      </c>
      <c r="M35" s="31">
        <f>M$31*gpuRent*730*rentUtil+storMo+rentSetup/amort</f>
        <v/>
      </c>
      <c r="N35" s="31">
        <f>N$31*gpuRent*730*rentUtil+storMo+rentSetup/amort</f>
        <v/>
      </c>
    </row>
    <row r="36">
      <c r="A36" s="39" t="inlineStr">
        <is>
          <t>Cheaper to buy the hybrid fleet?</t>
        </is>
      </c>
      <c r="C36" s="65">
        <f>IF(C$34&lt;=C$35,"Yes","No")</f>
        <v/>
      </c>
      <c r="D36" s="65">
        <f>IF(D$34&lt;=D$35,"Yes","No")</f>
        <v/>
      </c>
      <c r="E36" s="65">
        <f>IF(E$34&lt;=E$35,"Yes","No")</f>
        <v/>
      </c>
      <c r="F36" s="65">
        <f>IF(F$34&lt;=F$35,"Yes","No")</f>
        <v/>
      </c>
      <c r="G36" s="65">
        <f>IF(G$34&lt;=G$35,"Yes","No")</f>
        <v/>
      </c>
      <c r="H36" s="65">
        <f>IF(H$34&lt;=H$35,"Yes","No")</f>
        <v/>
      </c>
      <c r="I36" s="65">
        <f>IF(I$34&lt;=I$35,"Yes","No")</f>
        <v/>
      </c>
      <c r="J36" s="65">
        <f>IF(J$34&lt;=J$35,"Yes","No")</f>
        <v/>
      </c>
      <c r="K36" s="65">
        <f>IF(K$34&lt;=K$35,"Yes","No")</f>
        <v/>
      </c>
      <c r="L36" s="65">
        <f>IF(L$34&lt;=L$35,"Yes","No")</f>
        <v/>
      </c>
      <c r="M36" s="65">
        <f>IF(M$34&lt;=M$35,"Yes","No")</f>
        <v/>
      </c>
      <c r="N36" s="65">
        <f>IF(N$34&lt;=N$35,"Yes","No")</f>
        <v/>
      </c>
    </row>
    <row r="38">
      <c r="A38" s="11" t="inlineStr">
        <is>
          <t>MONTHLY COST OF EVERY ROUTE, AT EVERY TEAM SIZE</t>
        </is>
      </c>
      <c r="B38" s="12" t="n"/>
      <c r="C38" s="12" t="n"/>
      <c r="D38" s="12" t="n"/>
      <c r="E38" s="12" t="n"/>
      <c r="F38" s="12" t="n"/>
      <c r="G38" s="12" t="n"/>
      <c r="H38" s="12" t="n"/>
      <c r="I38" s="12" t="n"/>
      <c r="J38" s="12" t="n"/>
      <c r="K38" s="12" t="n"/>
      <c r="L38" s="12" t="n"/>
      <c r="M38" s="12" t="n"/>
      <c r="N38" s="12" t="n"/>
    </row>
    <row r="39">
      <c r="A39" s="38" t="inlineStr">
        <is>
          <t>Route</t>
        </is>
      </c>
      <c r="C39" s="72" t="n">
        <v>1</v>
      </c>
      <c r="D39" s="72" t="n">
        <v>2</v>
      </c>
      <c r="E39" s="72" t="n">
        <v>5</v>
      </c>
      <c r="F39" s="72" t="n">
        <v>10</v>
      </c>
      <c r="G39" s="72" t="n">
        <v>25</v>
      </c>
      <c r="H39" s="72" t="n">
        <v>50</v>
      </c>
      <c r="I39" s="72" t="n">
        <v>100</v>
      </c>
      <c r="J39" s="72" t="n">
        <v>200</v>
      </c>
      <c r="K39" s="72" t="n">
        <v>350</v>
      </c>
      <c r="L39" s="72" t="n">
        <v>500</v>
      </c>
      <c r="M39" s="72" t="n">
        <v>750</v>
      </c>
      <c r="N39" s="72" t="n">
        <v>1000</v>
      </c>
    </row>
    <row r="40">
      <c r="A40" s="39" t="inlineStr">
        <is>
          <t>Local model on laptops</t>
        </is>
      </c>
      <c r="C40" s="31">
        <f>C$5*lapUplift/amort+C$5*lapWatts/1000*codeHrs*workdays*kwhOffice+IF(labourYN="Yes",C$5*lapSupport/12*itRate,0)+C$26</f>
        <v/>
      </c>
      <c r="D40" s="31">
        <f>D$5*lapUplift/amort+D$5*lapWatts/1000*codeHrs*workdays*kwhOffice+IF(labourYN="Yes",D$5*lapSupport/12*itRate,0)+D$26</f>
        <v/>
      </c>
      <c r="E40" s="31">
        <f>E$5*lapUplift/amort+E$5*lapWatts/1000*codeHrs*workdays*kwhOffice+IF(labourYN="Yes",E$5*lapSupport/12*itRate,0)+E$26</f>
        <v/>
      </c>
      <c r="F40" s="31">
        <f>F$5*lapUplift/amort+F$5*lapWatts/1000*codeHrs*workdays*kwhOffice+IF(labourYN="Yes",F$5*lapSupport/12*itRate,0)+F$26</f>
        <v/>
      </c>
      <c r="G40" s="31">
        <f>G$5*lapUplift/amort+G$5*lapWatts/1000*codeHrs*workdays*kwhOffice+IF(labourYN="Yes",G$5*lapSupport/12*itRate,0)+G$26</f>
        <v/>
      </c>
      <c r="H40" s="31">
        <f>H$5*lapUplift/amort+H$5*lapWatts/1000*codeHrs*workdays*kwhOffice+IF(labourYN="Yes",H$5*lapSupport/12*itRate,0)+H$26</f>
        <v/>
      </c>
      <c r="I40" s="31">
        <f>I$5*lapUplift/amort+I$5*lapWatts/1000*codeHrs*workdays*kwhOffice+IF(labourYN="Yes",I$5*lapSupport/12*itRate,0)+I$26</f>
        <v/>
      </c>
      <c r="J40" s="31">
        <f>J$5*lapUplift/amort+J$5*lapWatts/1000*codeHrs*workdays*kwhOffice+IF(labourYN="Yes",J$5*lapSupport/12*itRate,0)+J$26</f>
        <v/>
      </c>
      <c r="K40" s="31">
        <f>K$5*lapUplift/amort+K$5*lapWatts/1000*codeHrs*workdays*kwhOffice+IF(labourYN="Yes",K$5*lapSupport/12*itRate,0)+K$26</f>
        <v/>
      </c>
      <c r="L40" s="31">
        <f>L$5*lapUplift/amort+L$5*lapWatts/1000*codeHrs*workdays*kwhOffice+IF(labourYN="Yes",L$5*lapSupport/12*itRate,0)+L$26</f>
        <v/>
      </c>
      <c r="M40" s="31">
        <f>M$5*lapUplift/amort+M$5*lapWatts/1000*codeHrs*workdays*kwhOffice+IF(labourYN="Yes",M$5*lapSupport/12*itRate,0)+M$26</f>
        <v/>
      </c>
      <c r="N40" s="31">
        <f>N$5*lapUplift/amort+N$5*lapWatts/1000*codeHrs*workdays*kwhOffice+IF(labourYN="Yes",N$5*lapSupport/12*itRate,0)+N$26</f>
        <v/>
      </c>
    </row>
    <row r="41">
      <c r="A41" s="39" t="inlineStr">
        <is>
          <t>GPUs you buy</t>
        </is>
      </c>
      <c r="C41" s="31">
        <f>C$19/amort+C$25*(pue*730*kwhDc+coloKw)+storMo+C$19*warranty/12+C$22+C$23+C$20/amort+C$26</f>
        <v/>
      </c>
      <c r="D41" s="31">
        <f>D$19/amort+D$25*(pue*730*kwhDc+coloKw)+storMo+D$19*warranty/12+D$22+D$23+D$20/amort+D$26</f>
        <v/>
      </c>
      <c r="E41" s="31">
        <f>E$19/amort+E$25*(pue*730*kwhDc+coloKw)+storMo+E$19*warranty/12+E$22+E$23+E$20/amort+E$26</f>
        <v/>
      </c>
      <c r="F41" s="31">
        <f>F$19/amort+F$25*(pue*730*kwhDc+coloKw)+storMo+F$19*warranty/12+F$22+F$23+F$20/amort+F$26</f>
        <v/>
      </c>
      <c r="G41" s="31">
        <f>G$19/amort+G$25*(pue*730*kwhDc+coloKw)+storMo+G$19*warranty/12+G$22+G$23+G$20/amort+G$26</f>
        <v/>
      </c>
      <c r="H41" s="31">
        <f>H$19/amort+H$25*(pue*730*kwhDc+coloKw)+storMo+H$19*warranty/12+H$22+H$23+H$20/amort+H$26</f>
        <v/>
      </c>
      <c r="I41" s="31">
        <f>I$19/amort+I$25*(pue*730*kwhDc+coloKw)+storMo+I$19*warranty/12+I$22+I$23+I$20/amort+I$26</f>
        <v/>
      </c>
      <c r="J41" s="31">
        <f>J$19/amort+J$25*(pue*730*kwhDc+coloKw)+storMo+J$19*warranty/12+J$22+J$23+J$20/amort+J$26</f>
        <v/>
      </c>
      <c r="K41" s="31">
        <f>K$19/amort+K$25*(pue*730*kwhDc+coloKw)+storMo+K$19*warranty/12+K$22+K$23+K$20/amort+K$26</f>
        <v/>
      </c>
      <c r="L41" s="31">
        <f>L$19/amort+L$25*(pue*730*kwhDc+coloKw)+storMo+L$19*warranty/12+L$22+L$23+L$20/amort+L$26</f>
        <v/>
      </c>
      <c r="M41" s="31">
        <f>M$19/amort+M$25*(pue*730*kwhDc+coloKw)+storMo+M$19*warranty/12+M$22+M$23+M$20/amort+M$26</f>
        <v/>
      </c>
      <c r="N41" s="31">
        <f>N$19/amort+N$25*(pue*730*kwhDc+coloKw)+storMo+N$19*warranty/12+N$22+N$23+N$20/amort+N$26</f>
        <v/>
      </c>
    </row>
    <row r="42">
      <c r="A42" s="39" t="inlineStr">
        <is>
          <t>GPUs you rent by the hour</t>
        </is>
      </c>
      <c r="C42" s="31">
        <f>C$16*gpuRent*730*rentUtil+storMo+C$22+C$23+rentSetup/amort+C$26</f>
        <v/>
      </c>
      <c r="D42" s="31">
        <f>D$16*gpuRent*730*rentUtil+storMo+D$22+D$23+rentSetup/amort+D$26</f>
        <v/>
      </c>
      <c r="E42" s="31">
        <f>E$16*gpuRent*730*rentUtil+storMo+E$22+E$23+rentSetup/amort+E$26</f>
        <v/>
      </c>
      <c r="F42" s="31">
        <f>F$16*gpuRent*730*rentUtil+storMo+F$22+F$23+rentSetup/amort+F$26</f>
        <v/>
      </c>
      <c r="G42" s="31">
        <f>G$16*gpuRent*730*rentUtil+storMo+G$22+G$23+rentSetup/amort+G$26</f>
        <v/>
      </c>
      <c r="H42" s="31">
        <f>H$16*gpuRent*730*rentUtil+storMo+H$22+H$23+rentSetup/amort+H$26</f>
        <v/>
      </c>
      <c r="I42" s="31">
        <f>I$16*gpuRent*730*rentUtil+storMo+I$22+I$23+rentSetup/amort+I$26</f>
        <v/>
      </c>
      <c r="J42" s="31">
        <f>J$16*gpuRent*730*rentUtil+storMo+J$22+J$23+rentSetup/amort+J$26</f>
        <v/>
      </c>
      <c r="K42" s="31">
        <f>K$16*gpuRent*730*rentUtil+storMo+K$22+K$23+rentSetup/amort+K$26</f>
        <v/>
      </c>
      <c r="L42" s="31">
        <f>L$16*gpuRent*730*rentUtil+storMo+L$22+L$23+rentSetup/amort+L$26</f>
        <v/>
      </c>
      <c r="M42" s="31">
        <f>M$16*gpuRent*730*rentUtil+storMo+M$22+M$23+rentSetup/amort+M$26</f>
        <v/>
      </c>
      <c r="N42" s="31">
        <f>N$16*gpuRent*730*rentUtil+storMo+N$22+N$23+rentSetup/amort+N$26</f>
        <v/>
      </c>
    </row>
    <row r="43">
      <c r="A43" s="39" t="inlineStr">
        <is>
          <t>Open model, hosted by someone else</t>
        </is>
      </c>
      <c r="C43" s="31">
        <f>C$22+(C$11*tm_o/1000000*orIn+C$10*tm_o/1000000*orCache+C$8*tm_o/1000000*orOut)*disc*(1+orFee)+C$26</f>
        <v/>
      </c>
      <c r="D43" s="31">
        <f>D$22+(D$11*tm_o/1000000*orIn+D$10*tm_o/1000000*orCache+D$8*tm_o/1000000*orOut)*disc*(1+orFee)+D$26</f>
        <v/>
      </c>
      <c r="E43" s="31">
        <f>E$22+(E$11*tm_o/1000000*orIn+E$10*tm_o/1000000*orCache+E$8*tm_o/1000000*orOut)*disc*(1+orFee)+E$26</f>
        <v/>
      </c>
      <c r="F43" s="31">
        <f>F$22+(F$11*tm_o/1000000*orIn+F$10*tm_o/1000000*orCache+F$8*tm_o/1000000*orOut)*disc*(1+orFee)+F$26</f>
        <v/>
      </c>
      <c r="G43" s="31">
        <f>G$22+(G$11*tm_o/1000000*orIn+G$10*tm_o/1000000*orCache+G$8*tm_o/1000000*orOut)*disc*(1+orFee)+G$26</f>
        <v/>
      </c>
      <c r="H43" s="31">
        <f>H$22+(H$11*tm_o/1000000*orIn+H$10*tm_o/1000000*orCache+H$8*tm_o/1000000*orOut)*disc*(1+orFee)+H$26</f>
        <v/>
      </c>
      <c r="I43" s="31">
        <f>I$22+(I$11*tm_o/1000000*orIn+I$10*tm_o/1000000*orCache+I$8*tm_o/1000000*orOut)*disc*(1+orFee)+I$26</f>
        <v/>
      </c>
      <c r="J43" s="31">
        <f>J$22+(J$11*tm_o/1000000*orIn+J$10*tm_o/1000000*orCache+J$8*tm_o/1000000*orOut)*disc*(1+orFee)+J$26</f>
        <v/>
      </c>
      <c r="K43" s="31">
        <f>K$22+(K$11*tm_o/1000000*orIn+K$10*tm_o/1000000*orCache+K$8*tm_o/1000000*orOut)*disc*(1+orFee)+K$26</f>
        <v/>
      </c>
      <c r="L43" s="31">
        <f>L$22+(L$11*tm_o/1000000*orIn+L$10*tm_o/1000000*orCache+L$8*tm_o/1000000*orOut)*disc*(1+orFee)+L$26</f>
        <v/>
      </c>
      <c r="M43" s="31">
        <f>M$22+(M$11*tm_o/1000000*orIn+M$10*tm_o/1000000*orCache+M$8*tm_o/1000000*orOut)*disc*(1+orFee)+M$26</f>
        <v/>
      </c>
      <c r="N43" s="31">
        <f>N$22+(N$11*tm_o/1000000*orIn+N$10*tm_o/1000000*orCache+N$8*tm_o/1000000*orOut)*disc*(1+orFee)+N$26</f>
        <v/>
      </c>
    </row>
    <row r="44">
      <c r="A44" s="39" t="inlineStr">
        <is>
          <t>AWS Bedrock</t>
        </is>
      </c>
      <c r="C44" s="31">
        <f>C$22+C$24+(C$11*1/1000000*bedIn+C$10*1/1000000*bedCache+C$8*1/1000000*bedOut)*disc+C$27</f>
        <v/>
      </c>
      <c r="D44" s="31">
        <f>D$22+D$24+(D$11*1/1000000*bedIn+D$10*1/1000000*bedCache+D$8*1/1000000*bedOut)*disc+D$27</f>
        <v/>
      </c>
      <c r="E44" s="31">
        <f>E$22+E$24+(E$11*1/1000000*bedIn+E$10*1/1000000*bedCache+E$8*1/1000000*bedOut)*disc+E$27</f>
        <v/>
      </c>
      <c r="F44" s="31">
        <f>F$22+F$24+(F$11*1/1000000*bedIn+F$10*1/1000000*bedCache+F$8*1/1000000*bedOut)*disc+F$27</f>
        <v/>
      </c>
      <c r="G44" s="31">
        <f>G$22+G$24+(G$11*1/1000000*bedIn+G$10*1/1000000*bedCache+G$8*1/1000000*bedOut)*disc+G$27</f>
        <v/>
      </c>
      <c r="H44" s="31">
        <f>H$22+H$24+(H$11*1/1000000*bedIn+H$10*1/1000000*bedCache+H$8*1/1000000*bedOut)*disc+H$27</f>
        <v/>
      </c>
      <c r="I44" s="31">
        <f>I$22+I$24+(I$11*1/1000000*bedIn+I$10*1/1000000*bedCache+I$8*1/1000000*bedOut)*disc+I$27</f>
        <v/>
      </c>
      <c r="J44" s="31">
        <f>J$22+J$24+(J$11*1/1000000*bedIn+J$10*1/1000000*bedCache+J$8*1/1000000*bedOut)*disc+J$27</f>
        <v/>
      </c>
      <c r="K44" s="31">
        <f>K$22+K$24+(K$11*1/1000000*bedIn+K$10*1/1000000*bedCache+K$8*1/1000000*bedOut)*disc+K$27</f>
        <v/>
      </c>
      <c r="L44" s="31">
        <f>L$22+L$24+(L$11*1/1000000*bedIn+L$10*1/1000000*bedCache+L$8*1/1000000*bedOut)*disc+L$27</f>
        <v/>
      </c>
      <c r="M44" s="31">
        <f>M$22+M$24+(M$11*1/1000000*bedIn+M$10*1/1000000*bedCache+M$8*1/1000000*bedOut)*disc+M$27</f>
        <v/>
      </c>
      <c r="N44" s="31">
        <f>N$22+N$24+(N$11*1/1000000*bedIn+N$10*1/1000000*bedCache+N$8*1/1000000*bedOut)*disc+N$27</f>
        <v/>
      </c>
    </row>
    <row r="45">
      <c r="A45" s="39" t="inlineStr">
        <is>
          <t>Azure OpenAI</t>
        </is>
      </c>
      <c r="C45" s="31">
        <f>C$22+C$24+(C$11*1/1000000*azIn+C$10*1/1000000*azCache+C$8*1/1000000*azOut)*disc+C$27</f>
        <v/>
      </c>
      <c r="D45" s="31">
        <f>D$22+D$24+(D$11*1/1000000*azIn+D$10*1/1000000*azCache+D$8*1/1000000*azOut)*disc+D$27</f>
        <v/>
      </c>
      <c r="E45" s="31">
        <f>E$22+E$24+(E$11*1/1000000*azIn+E$10*1/1000000*azCache+E$8*1/1000000*azOut)*disc+E$27</f>
        <v/>
      </c>
      <c r="F45" s="31">
        <f>F$22+F$24+(F$11*1/1000000*azIn+F$10*1/1000000*azCache+F$8*1/1000000*azOut)*disc+F$27</f>
        <v/>
      </c>
      <c r="G45" s="31">
        <f>G$22+G$24+(G$11*1/1000000*azIn+G$10*1/1000000*azCache+G$8*1/1000000*azOut)*disc+G$27</f>
        <v/>
      </c>
      <c r="H45" s="31">
        <f>H$22+H$24+(H$11*1/1000000*azIn+H$10*1/1000000*azCache+H$8*1/1000000*azOut)*disc+H$27</f>
        <v/>
      </c>
      <c r="I45" s="31">
        <f>I$22+I$24+(I$11*1/1000000*azIn+I$10*1/1000000*azCache+I$8*1/1000000*azOut)*disc+I$27</f>
        <v/>
      </c>
      <c r="J45" s="31">
        <f>J$22+J$24+(J$11*1/1000000*azIn+J$10*1/1000000*azCache+J$8*1/1000000*azOut)*disc+J$27</f>
        <v/>
      </c>
      <c r="K45" s="31">
        <f>K$22+K$24+(K$11*1/1000000*azIn+K$10*1/1000000*azCache+K$8*1/1000000*azOut)*disc+K$27</f>
        <v/>
      </c>
      <c r="L45" s="31">
        <f>L$22+L$24+(L$11*1/1000000*azIn+L$10*1/1000000*azCache+L$8*1/1000000*azOut)*disc+L$27</f>
        <v/>
      </c>
      <c r="M45" s="31">
        <f>M$22+M$24+(M$11*1/1000000*azIn+M$10*1/1000000*azCache+M$8*1/1000000*azOut)*disc+M$27</f>
        <v/>
      </c>
      <c r="N45" s="31">
        <f>N$22+N$24+(N$11*1/1000000*azIn+N$10*1/1000000*azCache+N$8*1/1000000*azOut)*disc+N$27</f>
        <v/>
      </c>
    </row>
    <row r="46">
      <c r="A46" s="39" t="inlineStr">
        <is>
          <t>Anthropic API</t>
        </is>
      </c>
      <c r="C46" s="31">
        <f>C$22+(C$11*1/1000000*anIn+C$10*1/1000000*anCache+C$8*1/1000000*anOut)*disc+C$27</f>
        <v/>
      </c>
      <c r="D46" s="31">
        <f>D$22+(D$11*1/1000000*anIn+D$10*1/1000000*anCache+D$8*1/1000000*anOut)*disc+D$27</f>
        <v/>
      </c>
      <c r="E46" s="31">
        <f>E$22+(E$11*1/1000000*anIn+E$10*1/1000000*anCache+E$8*1/1000000*anOut)*disc+E$27</f>
        <v/>
      </c>
      <c r="F46" s="31">
        <f>F$22+(F$11*1/1000000*anIn+F$10*1/1000000*anCache+F$8*1/1000000*anOut)*disc+F$27</f>
        <v/>
      </c>
      <c r="G46" s="31">
        <f>G$22+(G$11*1/1000000*anIn+G$10*1/1000000*anCache+G$8*1/1000000*anOut)*disc+G$27</f>
        <v/>
      </c>
      <c r="H46" s="31">
        <f>H$22+(H$11*1/1000000*anIn+H$10*1/1000000*anCache+H$8*1/1000000*anOut)*disc+H$27</f>
        <v/>
      </c>
      <c r="I46" s="31">
        <f>I$22+(I$11*1/1000000*anIn+I$10*1/1000000*anCache+I$8*1/1000000*anOut)*disc+I$27</f>
        <v/>
      </c>
      <c r="J46" s="31">
        <f>J$22+(J$11*1/1000000*anIn+J$10*1/1000000*anCache+J$8*1/1000000*anOut)*disc+J$27</f>
        <v/>
      </c>
      <c r="K46" s="31">
        <f>K$22+(K$11*1/1000000*anIn+K$10*1/1000000*anCache+K$8*1/1000000*anOut)*disc+K$27</f>
        <v/>
      </c>
      <c r="L46" s="31">
        <f>L$22+(L$11*1/1000000*anIn+L$10*1/1000000*anCache+L$8*1/1000000*anOut)*disc+L$27</f>
        <v/>
      </c>
      <c r="M46" s="31">
        <f>M$22+(M$11*1/1000000*anIn+M$10*1/1000000*anCache+M$8*1/1000000*anOut)*disc+M$27</f>
        <v/>
      </c>
      <c r="N46" s="31">
        <f>N$22+(N$11*1/1000000*anIn+N$10*1/1000000*anCache+N$8*1/1000000*anOut)*disc+N$27</f>
        <v/>
      </c>
    </row>
    <row r="47">
      <c r="A47" s="39" t="inlineStr">
        <is>
          <t>OpenAI API</t>
        </is>
      </c>
      <c r="C47" s="31">
        <f>C$22+(C$11*1/1000000*oaIn+C$10*1/1000000*oaCache+C$8*1/1000000*oaOut)*disc+C$27</f>
        <v/>
      </c>
      <c r="D47" s="31">
        <f>D$22+(D$11*1/1000000*oaIn+D$10*1/1000000*oaCache+D$8*1/1000000*oaOut)*disc+D$27</f>
        <v/>
      </c>
      <c r="E47" s="31">
        <f>E$22+(E$11*1/1000000*oaIn+E$10*1/1000000*oaCache+E$8*1/1000000*oaOut)*disc+E$27</f>
        <v/>
      </c>
      <c r="F47" s="31">
        <f>F$22+(F$11*1/1000000*oaIn+F$10*1/1000000*oaCache+F$8*1/1000000*oaOut)*disc+F$27</f>
        <v/>
      </c>
      <c r="G47" s="31">
        <f>G$22+(G$11*1/1000000*oaIn+G$10*1/1000000*oaCache+G$8*1/1000000*oaOut)*disc+G$27</f>
        <v/>
      </c>
      <c r="H47" s="31">
        <f>H$22+(H$11*1/1000000*oaIn+H$10*1/1000000*oaCache+H$8*1/1000000*oaOut)*disc+H$27</f>
        <v/>
      </c>
      <c r="I47" s="31">
        <f>I$22+(I$11*1/1000000*oaIn+I$10*1/1000000*oaCache+I$8*1/1000000*oaOut)*disc+I$27</f>
        <v/>
      </c>
      <c r="J47" s="31">
        <f>J$22+(J$11*1/1000000*oaIn+J$10*1/1000000*oaCache+J$8*1/1000000*oaOut)*disc+J$27</f>
        <v/>
      </c>
      <c r="K47" s="31">
        <f>K$22+(K$11*1/1000000*oaIn+K$10*1/1000000*oaCache+K$8*1/1000000*oaOut)*disc+K$27</f>
        <v/>
      </c>
      <c r="L47" s="31">
        <f>L$22+(L$11*1/1000000*oaIn+L$10*1/1000000*oaCache+L$8*1/1000000*oaOut)*disc+L$27</f>
        <v/>
      </c>
      <c r="M47" s="31">
        <f>M$22+(M$11*1/1000000*oaIn+M$10*1/1000000*oaCache+M$8*1/1000000*oaOut)*disc+M$27</f>
        <v/>
      </c>
      <c r="N47" s="31">
        <f>N$22+(N$11*1/1000000*oaIn+N$10*1/1000000*oaCache+N$8*1/1000000*oaOut)*disc+N$27</f>
        <v/>
      </c>
    </row>
    <row r="48">
      <c r="A48" s="39" t="inlineStr">
        <is>
          <t>Open model, frontier fallback</t>
        </is>
      </c>
      <c r="C48" s="31">
        <f>IF(C$36="Yes",C$34,C$35)+C$22+C$23+(C$11*api_h/1000000*anIn+C$10*api_h/1000000*anCache+C$8*api_h/1000000*anOut)*disc+C$28</f>
        <v/>
      </c>
      <c r="D48" s="31">
        <f>IF(D$36="Yes",D$34,D$35)+D$22+D$23+(D$11*api_h/1000000*anIn+D$10*api_h/1000000*anCache+D$8*api_h/1000000*anOut)*disc+D$28</f>
        <v/>
      </c>
      <c r="E48" s="31">
        <f>IF(E$36="Yes",E$34,E$35)+E$22+E$23+(E$11*api_h/1000000*anIn+E$10*api_h/1000000*anCache+E$8*api_h/1000000*anOut)*disc+E$28</f>
        <v/>
      </c>
      <c r="F48" s="31">
        <f>IF(F$36="Yes",F$34,F$35)+F$22+F$23+(F$11*api_h/1000000*anIn+F$10*api_h/1000000*anCache+F$8*api_h/1000000*anOut)*disc+F$28</f>
        <v/>
      </c>
      <c r="G48" s="31">
        <f>IF(G$36="Yes",G$34,G$35)+G$22+G$23+(G$11*api_h/1000000*anIn+G$10*api_h/1000000*anCache+G$8*api_h/1000000*anOut)*disc+G$28</f>
        <v/>
      </c>
      <c r="H48" s="31">
        <f>IF(H$36="Yes",H$34,H$35)+H$22+H$23+(H$11*api_h/1000000*anIn+H$10*api_h/1000000*anCache+H$8*api_h/1000000*anOut)*disc+H$28</f>
        <v/>
      </c>
      <c r="I48" s="31">
        <f>IF(I$36="Yes",I$34,I$35)+I$22+I$23+(I$11*api_h/1000000*anIn+I$10*api_h/1000000*anCache+I$8*api_h/1000000*anOut)*disc+I$28</f>
        <v/>
      </c>
      <c r="J48" s="31">
        <f>IF(J$36="Yes",J$34,J$35)+J$22+J$23+(J$11*api_h/1000000*anIn+J$10*api_h/1000000*anCache+J$8*api_h/1000000*anOut)*disc+J$28</f>
        <v/>
      </c>
      <c r="K48" s="31">
        <f>IF(K$36="Yes",K$34,K$35)+K$22+K$23+(K$11*api_h/1000000*anIn+K$10*api_h/1000000*anCache+K$8*api_h/1000000*anOut)*disc+K$28</f>
        <v/>
      </c>
      <c r="L48" s="31">
        <f>IF(L$36="Yes",L$34,L$35)+L$22+L$23+(L$11*api_h/1000000*anIn+L$10*api_h/1000000*anCache+L$8*api_h/1000000*anOut)*disc+L$28</f>
        <v/>
      </c>
      <c r="M48" s="31">
        <f>IF(M$36="Yes",M$34,M$35)+M$22+M$23+(M$11*api_h/1000000*anIn+M$10*api_h/1000000*anCache+M$8*api_h/1000000*anOut)*disc+M$28</f>
        <v/>
      </c>
      <c r="N48" s="31">
        <f>IF(N$36="Yes",N$34,N$35)+N$22+N$23+(N$11*api_h/1000000*anIn+N$10*api_h/1000000*anCache+N$8*api_h/1000000*anOut)*disc+N$28</f>
        <v/>
      </c>
    </row>
    <row r="49">
      <c r="A49" s="39" t="inlineStr">
        <is>
          <t>Flat per-seat plans</t>
        </is>
      </c>
      <c r="C49" s="31">
        <f>C$22+C$5*(seat+IF(ownsBase="Yes",0,seatBase))+C$27</f>
        <v/>
      </c>
      <c r="D49" s="31">
        <f>D$22+D$5*(seat+IF(ownsBase="Yes",0,seatBase))+D$27</f>
        <v/>
      </c>
      <c r="E49" s="31">
        <f>E$22+E$5*(seat+IF(ownsBase="Yes",0,seatBase))+E$27</f>
        <v/>
      </c>
      <c r="F49" s="31">
        <f>F$22+F$5*(seat+IF(ownsBase="Yes",0,seatBase))+F$27</f>
        <v/>
      </c>
      <c r="G49" s="31">
        <f>G$22+G$5*(seat+IF(ownsBase="Yes",0,seatBase))+G$27</f>
        <v/>
      </c>
      <c r="H49" s="31">
        <f>H$22+H$5*(seat+IF(ownsBase="Yes",0,seatBase))+H$27</f>
        <v/>
      </c>
      <c r="I49" s="31">
        <f>I$22+I$5*(seat+IF(ownsBase="Yes",0,seatBase))+I$27</f>
        <v/>
      </c>
      <c r="J49" s="31">
        <f>J$22+J$5*(seat+IF(ownsBase="Yes",0,seatBase))+J$27</f>
        <v/>
      </c>
      <c r="K49" s="31">
        <f>K$22+K$5*(seat+IF(ownsBase="Yes",0,seatBase))+K$27</f>
        <v/>
      </c>
      <c r="L49" s="31">
        <f>L$22+L$5*(seat+IF(ownsBase="Yes",0,seatBase))+L$27</f>
        <v/>
      </c>
      <c r="M49" s="31">
        <f>M$22+M$5*(seat+IF(ownsBase="Yes",0,seatBase))+M$27</f>
        <v/>
      </c>
      <c r="N49" s="31">
        <f>N$22+N$5*(seat+IF(ownsBase="Yes",0,seatBase))+N$27</f>
        <v/>
      </c>
    </row>
    <row r="51">
      <c r="A51" s="11" t="inlineStr">
        <is>
          <t>WHERE IT CROSSES</t>
        </is>
      </c>
      <c r="B51" s="12" t="n"/>
      <c r="C51" s="12" t="n"/>
      <c r="D51" s="12" t="n"/>
      <c r="E51" s="12" t="n"/>
      <c r="F51" s="12" t="n"/>
      <c r="G51" s="12" t="n"/>
      <c r="H51" s="12" t="n"/>
      <c r="I51" s="12" t="n"/>
      <c r="J51" s="12" t="n"/>
      <c r="K51" s="12" t="n"/>
      <c r="L51" s="12" t="n"/>
      <c r="M51" s="12" t="n"/>
      <c r="N51" s="12" t="n"/>
    </row>
    <row r="52">
      <c r="A52" s="39" t="inlineStr">
        <is>
          <t>Full-term cash, buying the fleet</t>
        </is>
      </c>
      <c r="C52" s="31">
        <f>(C$19+C$20)+(C$41-C$19/amort-C$26)*horizon</f>
        <v/>
      </c>
      <c r="D52" s="31">
        <f>(D$19+D$20)+(D$41-D$19/amort-D$26)*horizon</f>
        <v/>
      </c>
      <c r="E52" s="31">
        <f>(E$19+E$20)+(E$41-E$19/amort-E$26)*horizon</f>
        <v/>
      </c>
      <c r="F52" s="31">
        <f>(F$19+F$20)+(F$41-F$19/amort-F$26)*horizon</f>
        <v/>
      </c>
      <c r="G52" s="31">
        <f>(G$19+G$20)+(G$41-G$19/amort-G$26)*horizon</f>
        <v/>
      </c>
      <c r="H52" s="31">
        <f>(H$19+H$20)+(H$41-H$19/amort-H$26)*horizon</f>
        <v/>
      </c>
      <c r="I52" s="31">
        <f>(I$19+I$20)+(I$41-I$19/amort-I$26)*horizon</f>
        <v/>
      </c>
      <c r="J52" s="31">
        <f>(J$19+J$20)+(J$41-J$19/amort-J$26)*horizon</f>
        <v/>
      </c>
      <c r="K52" s="31">
        <f>(K$19+K$20)+(K$41-K$19/amort-K$26)*horizon</f>
        <v/>
      </c>
      <c r="L52" s="31">
        <f>(L$19+L$20)+(L$41-L$19/amort-L$26)*horizon</f>
        <v/>
      </c>
      <c r="M52" s="31">
        <f>(M$19+M$20)+(M$41-M$19/amort-M$26)*horizon</f>
        <v/>
      </c>
      <c r="N52" s="31">
        <f>(N$19+N$20)+(N$41-N$19/amort-N$26)*horizon</f>
        <v/>
      </c>
    </row>
    <row r="53">
      <c r="A53" s="39" t="inlineStr">
        <is>
          <t>Full-term cash, renting the fleet</t>
        </is>
      </c>
      <c r="C53" s="31">
        <f>rentSetup+(C$42-C$26)*horizon</f>
        <v/>
      </c>
      <c r="D53" s="31">
        <f>rentSetup+(D$42-D$26)*horizon</f>
        <v/>
      </c>
      <c r="E53" s="31">
        <f>rentSetup+(E$42-E$26)*horizon</f>
        <v/>
      </c>
      <c r="F53" s="31">
        <f>rentSetup+(F$42-F$26)*horizon</f>
        <v/>
      </c>
      <c r="G53" s="31">
        <f>rentSetup+(G$42-G$26)*horizon</f>
        <v/>
      </c>
      <c r="H53" s="31">
        <f>rentSetup+(H$42-H$26)*horizon</f>
        <v/>
      </c>
      <c r="I53" s="31">
        <f>rentSetup+(I$42-I$26)*horizon</f>
        <v/>
      </c>
      <c r="J53" s="31">
        <f>rentSetup+(J$42-J$26)*horizon</f>
        <v/>
      </c>
      <c r="K53" s="31">
        <f>rentSetup+(K$42-K$26)*horizon</f>
        <v/>
      </c>
      <c r="L53" s="31">
        <f>rentSetup+(L$42-L$26)*horizon</f>
        <v/>
      </c>
      <c r="M53" s="31">
        <f>rentSetup+(M$42-M$26)*horizon</f>
        <v/>
      </c>
      <c r="N53" s="31">
        <f>rentSetup+(N$42-N$26)*horizon</f>
        <v/>
      </c>
    </row>
    <row r="54">
      <c r="A54" s="39" t="inlineStr">
        <is>
          <t>Full-term cash, hybrid</t>
        </is>
      </c>
      <c r="C54" s="31">
        <f>IF(C$36="Yes",C$33+C$20,rentSetup)+(C$48-IF(C$36="Yes",C$33/amort,0)-C$28)*horizon</f>
        <v/>
      </c>
      <c r="D54" s="31">
        <f>IF(D$36="Yes",D$33+D$20,rentSetup)+(D$48-IF(D$36="Yes",D$33/amort,0)-D$28)*horizon</f>
        <v/>
      </c>
      <c r="E54" s="31">
        <f>IF(E$36="Yes",E$33+E$20,rentSetup)+(E$48-IF(E$36="Yes",E$33/amort,0)-E$28)*horizon</f>
        <v/>
      </c>
      <c r="F54" s="31">
        <f>IF(F$36="Yes",F$33+F$20,rentSetup)+(F$48-IF(F$36="Yes",F$33/amort,0)-F$28)*horizon</f>
        <v/>
      </c>
      <c r="G54" s="31">
        <f>IF(G$36="Yes",G$33+G$20,rentSetup)+(G$48-IF(G$36="Yes",G$33/amort,0)-G$28)*horizon</f>
        <v/>
      </c>
      <c r="H54" s="31">
        <f>IF(H$36="Yes",H$33+H$20,rentSetup)+(H$48-IF(H$36="Yes",H$33/amort,0)-H$28)*horizon</f>
        <v/>
      </c>
      <c r="I54" s="31">
        <f>IF(I$36="Yes",I$33+I$20,rentSetup)+(I$48-IF(I$36="Yes",I$33/amort,0)-I$28)*horizon</f>
        <v/>
      </c>
      <c r="J54" s="31">
        <f>IF(J$36="Yes",J$33+J$20,rentSetup)+(J$48-IF(J$36="Yes",J$33/amort,0)-J$28)*horizon</f>
        <v/>
      </c>
      <c r="K54" s="31">
        <f>IF(K$36="Yes",K$33+K$20,rentSetup)+(K$48-IF(K$36="Yes",K$33/amort,0)-K$28)*horizon</f>
        <v/>
      </c>
      <c r="L54" s="31">
        <f>IF(L$36="Yes",L$33+L$20,rentSetup)+(L$48-IF(L$36="Yes",L$33/amort,0)-L$28)*horizon</f>
        <v/>
      </c>
      <c r="M54" s="31">
        <f>IF(M$36="Yes",M$33+M$20,rentSetup)+(M$48-IF(M$36="Yes",M$33/amort,0)-M$28)*horizon</f>
        <v/>
      </c>
      <c r="N54" s="31">
        <f>IF(N$36="Yes",N$33+N$20,rentSetup)+(N$48-IF(N$36="Yes",N$33/amort,0)-N$28)*horizon</f>
        <v/>
      </c>
    </row>
    <row r="55">
      <c r="A55" s="41" t="inlineStr">
        <is>
          <t>Full-term cash, cheapest hosted</t>
        </is>
      </c>
      <c r="B55" s="68" t="inlineStr">
        <is>
          <t>serverless, the clouds, the labs, seats and the hybrid</t>
        </is>
      </c>
      <c r="C55" s="64">
        <f>MIN((C$43-C$26)*horizon,(C$44-C$27)*horizon,(C$45-C$27)*horizon,(C$46-C$27)*horizon,(C$47-C$27)*horizon,(C$49-C$27)*horizon,C$54)</f>
        <v/>
      </c>
      <c r="D55" s="64">
        <f>MIN((D$43-D$26)*horizon,(D$44-D$27)*horizon,(D$45-D$27)*horizon,(D$46-D$27)*horizon,(D$47-D$27)*horizon,(D$49-D$27)*horizon,D$54)</f>
        <v/>
      </c>
      <c r="E55" s="64">
        <f>MIN((E$43-E$26)*horizon,(E$44-E$27)*horizon,(E$45-E$27)*horizon,(E$46-E$27)*horizon,(E$47-E$27)*horizon,(E$49-E$27)*horizon,E$54)</f>
        <v/>
      </c>
      <c r="F55" s="64">
        <f>MIN((F$43-F$26)*horizon,(F$44-F$27)*horizon,(F$45-F$27)*horizon,(F$46-F$27)*horizon,(F$47-F$27)*horizon,(F$49-F$27)*horizon,F$54)</f>
        <v/>
      </c>
      <c r="G55" s="64">
        <f>MIN((G$43-G$26)*horizon,(G$44-G$27)*horizon,(G$45-G$27)*horizon,(G$46-G$27)*horizon,(G$47-G$27)*horizon,(G$49-G$27)*horizon,G$54)</f>
        <v/>
      </c>
      <c r="H55" s="64">
        <f>MIN((H$43-H$26)*horizon,(H$44-H$27)*horizon,(H$45-H$27)*horizon,(H$46-H$27)*horizon,(H$47-H$27)*horizon,(H$49-H$27)*horizon,H$54)</f>
        <v/>
      </c>
      <c r="I55" s="64">
        <f>MIN((I$43-I$26)*horizon,(I$44-I$27)*horizon,(I$45-I$27)*horizon,(I$46-I$27)*horizon,(I$47-I$27)*horizon,(I$49-I$27)*horizon,I$54)</f>
        <v/>
      </c>
      <c r="J55" s="64">
        <f>MIN((J$43-J$26)*horizon,(J$44-J$27)*horizon,(J$45-J$27)*horizon,(J$46-J$27)*horizon,(J$47-J$27)*horizon,(J$49-J$27)*horizon,J$54)</f>
        <v/>
      </c>
      <c r="K55" s="64">
        <f>MIN((K$43-K$26)*horizon,(K$44-K$27)*horizon,(K$45-K$27)*horizon,(K$46-K$27)*horizon,(K$47-K$27)*horizon,(K$49-K$27)*horizon,K$54)</f>
        <v/>
      </c>
      <c r="L55" s="64">
        <f>MIN((L$43-L$26)*horizon,(L$44-L$27)*horizon,(L$45-L$27)*horizon,(L$46-L$27)*horizon,(L$47-L$27)*horizon,(L$49-L$27)*horizon,L$54)</f>
        <v/>
      </c>
      <c r="M55" s="64">
        <f>MIN((M$43-M$26)*horizon,(M$44-M$27)*horizon,(M$45-M$27)*horizon,(M$46-M$27)*horizon,(M$47-M$27)*horizon,(M$49-M$27)*horizon,M$54)</f>
        <v/>
      </c>
      <c r="N55" s="64">
        <f>MIN((N$43-N$26)*horizon,(N$44-N$27)*horizon,(N$45-N$27)*horizon,(N$46-N$27)*horizon,(N$47-N$27)*horizon,(N$49-N$27)*horizon,N$54)</f>
        <v/>
      </c>
    </row>
    <row r="56">
      <c r="A56" s="41" t="inlineStr">
        <is>
          <t>Full-term cash, cheapest fleet you own</t>
        </is>
      </c>
      <c r="B56" s="68" t="inlineStr">
        <is>
          <t>buying or renting accelerators - laptops are a different question</t>
        </is>
      </c>
      <c r="C56" s="64">
        <f>MIN(C$52,C$53)</f>
        <v/>
      </c>
      <c r="D56" s="64">
        <f>MIN(D$52,D$53)</f>
        <v/>
      </c>
      <c r="E56" s="64">
        <f>MIN(E$52,E$53)</f>
        <v/>
      </c>
      <c r="F56" s="64">
        <f>MIN(F$52,F$53)</f>
        <v/>
      </c>
      <c r="G56" s="64">
        <f>MIN(G$52,G$53)</f>
        <v/>
      </c>
      <c r="H56" s="64">
        <f>MIN(H$52,H$53)</f>
        <v/>
      </c>
      <c r="I56" s="64">
        <f>MIN(I$52,I$53)</f>
        <v/>
      </c>
      <c r="J56" s="64">
        <f>MIN(J$52,J$53)</f>
        <v/>
      </c>
      <c r="K56" s="64">
        <f>MIN(K$52,K$53)</f>
        <v/>
      </c>
      <c r="L56" s="64">
        <f>MIN(L$52,L$53)</f>
        <v/>
      </c>
      <c r="M56" s="64">
        <f>MIN(M$52,M$53)</f>
        <v/>
      </c>
      <c r="N56" s="64">
        <f>MIN(N$52,N$53)</f>
        <v/>
      </c>
    </row>
    <row r="57">
      <c r="A57" s="39" t="inlineStr">
        <is>
          <t>Does owning win here?</t>
        </is>
      </c>
      <c r="C57" s="34">
        <f>IF(C$56&lt;C$55,C$5,"")</f>
        <v/>
      </c>
      <c r="D57" s="34">
        <f>IF(D$56&lt;D$55,D$5,"")</f>
        <v/>
      </c>
      <c r="E57" s="34">
        <f>IF(E$56&lt;E$55,E$5,"")</f>
        <v/>
      </c>
      <c r="F57" s="34">
        <f>IF(F$56&lt;F$55,F$5,"")</f>
        <v/>
      </c>
      <c r="G57" s="34">
        <f>IF(G$56&lt;G$55,G$5,"")</f>
        <v/>
      </c>
      <c r="H57" s="34">
        <f>IF(H$56&lt;H$55,H$5,"")</f>
        <v/>
      </c>
      <c r="I57" s="34">
        <f>IF(I$56&lt;I$55,I$5,"")</f>
        <v/>
      </c>
      <c r="J57" s="34">
        <f>IF(J$56&lt;J$55,J$5,"")</f>
        <v/>
      </c>
      <c r="K57" s="34">
        <f>IF(K$56&lt;K$55,K$5,"")</f>
        <v/>
      </c>
      <c r="L57" s="34">
        <f>IF(L$56&lt;L$55,L$5,"")</f>
        <v/>
      </c>
      <c r="M57" s="34">
        <f>IF(M$56&lt;M$55,M$5,"")</f>
        <v/>
      </c>
      <c r="N57" s="34">
        <f>IF(N$56&lt;N$55,N$5,"")</f>
        <v/>
      </c>
    </row>
    <row r="58">
      <c r="A58" s="41" t="inlineStr">
        <is>
          <t>Cheapest route</t>
        </is>
      </c>
      <c r="C58" s="73">
        <f>INDEX(cat_routes,MATCH(MIN(C$40:C$49),C$40:C$49,0))</f>
        <v/>
      </c>
      <c r="D58" s="73">
        <f>INDEX(cat_routes,MATCH(MIN(D$40:D$49),D$40:D$49,0))</f>
        <v/>
      </c>
      <c r="E58" s="73">
        <f>INDEX(cat_routes,MATCH(MIN(E$40:E$49),E$40:E$49,0))</f>
        <v/>
      </c>
      <c r="F58" s="73">
        <f>INDEX(cat_routes,MATCH(MIN(F$40:F$49),F$40:F$49,0))</f>
        <v/>
      </c>
      <c r="G58" s="73">
        <f>INDEX(cat_routes,MATCH(MIN(G$40:G$49),G$40:G$49,0))</f>
        <v/>
      </c>
      <c r="H58" s="73">
        <f>INDEX(cat_routes,MATCH(MIN(H$40:H$49),H$40:H$49,0))</f>
        <v/>
      </c>
      <c r="I58" s="73">
        <f>INDEX(cat_routes,MATCH(MIN(I$40:I$49),I$40:I$49,0))</f>
        <v/>
      </c>
      <c r="J58" s="73">
        <f>INDEX(cat_routes,MATCH(MIN(J$40:J$49),J$40:J$49,0))</f>
        <v/>
      </c>
      <c r="K58" s="73">
        <f>INDEX(cat_routes,MATCH(MIN(K$40:K$49),K$40:K$49,0))</f>
        <v/>
      </c>
      <c r="L58" s="73">
        <f>INDEX(cat_routes,MATCH(MIN(L$40:L$49),L$40:L$49,0))</f>
        <v/>
      </c>
      <c r="M58" s="73">
        <f>INDEX(cat_routes,MATCH(MIN(M$40:M$49),M$40:M$49,0))</f>
        <v/>
      </c>
      <c r="N58" s="73">
        <f>INDEX(cat_routes,MATCH(MIN(N$40:N$49),N$40:N$49,0))</f>
        <v/>
      </c>
    </row>
    <row r="59">
      <c r="A59" s="39" t="inlineStr">
        <is>
          <t>Per developer, per month</t>
        </is>
      </c>
      <c r="C59" s="31">
        <f>IF(C$5&gt;0,MIN(C$40:C$49)/C$5,0)</f>
        <v/>
      </c>
      <c r="D59" s="31">
        <f>IF(D$5&gt;0,MIN(D$40:D$49)/D$5,0)</f>
        <v/>
      </c>
      <c r="E59" s="31">
        <f>IF(E$5&gt;0,MIN(E$40:E$49)/E$5,0)</f>
        <v/>
      </c>
      <c r="F59" s="31">
        <f>IF(F$5&gt;0,MIN(F$40:F$49)/F$5,0)</f>
        <v/>
      </c>
      <c r="G59" s="31">
        <f>IF(G$5&gt;0,MIN(G$40:G$49)/G$5,0)</f>
        <v/>
      </c>
      <c r="H59" s="31">
        <f>IF(H$5&gt;0,MIN(H$40:H$49)/H$5,0)</f>
        <v/>
      </c>
      <c r="I59" s="31">
        <f>IF(I$5&gt;0,MIN(I$40:I$49)/I$5,0)</f>
        <v/>
      </c>
      <c r="J59" s="31">
        <f>IF(J$5&gt;0,MIN(J$40:J$49)/J$5,0)</f>
        <v/>
      </c>
      <c r="K59" s="31">
        <f>IF(K$5&gt;0,MIN(K$40:K$49)/K$5,0)</f>
        <v/>
      </c>
      <c r="L59" s="31">
        <f>IF(L$5&gt;0,MIN(L$40:L$49)/L$5,0)</f>
        <v/>
      </c>
      <c r="M59" s="31">
        <f>IF(M$5&gt;0,MIN(M$40:M$49)/M$5,0)</f>
        <v/>
      </c>
      <c r="N59" s="31">
        <f>IF(N$5&gt;0,MIN(N$40:N$49)/N$5,0)</f>
        <v/>
      </c>
    </row>
    <row r="61">
      <c r="A61" s="67" t="inlineStr">
        <is>
          <t>Owning accelerators first wins at</t>
        </is>
      </c>
      <c r="B61" s="68" t="inlineStr">
        <is>
          <t>developers</t>
        </is>
      </c>
      <c r="C61" s="74">
        <f>IFERROR(MIN(C$57:N$57),0)</f>
        <v/>
      </c>
    </row>
    <row r="62">
      <c r="A62" s="36" t="inlineStr">
        <is>
          <t>Zero means owning never wins inside the sizes above. Both sides are full-term cash with the developer-time penalty stripped out, so the comparison is about infrastructure rather than about model quality - the fair fight. Put the penalty back and owning has to win by that much more.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6B7280"/>
    <outlinePr summaryBelow="1" summaryRight="1"/>
    <pageSetUpPr/>
  </sheetPr>
  <dimension ref="A1:X144"/>
  <sheetViews>
    <sheetView showGridLines="0" workbookViewId="0">
      <selection activeCell="A1" sqref="A1"/>
    </sheetView>
  </sheetViews>
  <sheetFormatPr baseColWidth="8" defaultRowHeight="15"/>
  <cols>
    <col width="40" customWidth="1" min="1" max="1"/>
    <col width="18"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4" customWidth="1" min="11" max="11"/>
    <col width="14" customWidth="1" min="12" max="12"/>
    <col width="13" customWidth="1" min="13" max="13"/>
    <col width="12" customWidth="1" min="14" max="14"/>
    <col width="11" customWidth="1" min="15" max="15"/>
    <col width="11" customWidth="1" min="16" max="16"/>
    <col width="13" customWidth="1" min="17" max="17"/>
    <col width="11" customWidth="1" min="18" max="18"/>
    <col width="12" customWidth="1" min="19" max="19"/>
    <col width="12" customWidth="1" min="20" max="20"/>
    <col width="13" customWidth="1" min="21" max="21"/>
    <col width="11" customWidth="1" min="22" max="22"/>
    <col width="8" customWidth="1" min="23" max="23"/>
  </cols>
  <sheetData>
    <row r="1">
      <c r="A1" s="1" t="inlineStr">
        <is>
          <t>Workings</t>
        </is>
      </c>
    </row>
    <row r="2">
      <c r="A2" s="2" t="inlineStr">
        <is>
          <t>Every intermediate the Answer sheet stands on. Nothing here is an input - it is all formulas over the Inputs tab, laid out so each step can be checked by hand.</t>
        </is>
      </c>
    </row>
    <row r="4">
      <c r="A4" s="11" t="inlineStr">
        <is>
          <t>1. TOKEN VOLUMES FOR THE MONTH</t>
        </is>
      </c>
      <c r="B4" s="12" t="n"/>
      <c r="C4" s="12" t="n"/>
    </row>
    <row r="5">
      <c r="A5" s="48" t="inlineStr">
        <is>
          <t>Input tokens</t>
        </is>
      </c>
      <c r="B5" s="55">
        <f>devs*inTok*1000000*workdays</f>
        <v/>
      </c>
    </row>
    <row r="6">
      <c r="A6" s="48" t="inlineStr">
        <is>
          <t>Output tokens</t>
        </is>
      </c>
      <c r="B6" s="55">
        <f>devs*outTok*1000*workdays</f>
        <v/>
      </c>
    </row>
    <row r="7">
      <c r="A7" s="48" t="inlineStr">
        <is>
          <t>Input served from cache</t>
        </is>
      </c>
      <c r="B7" s="55">
        <f>m_inTok*MIN(1,cacheShare)</f>
        <v/>
      </c>
    </row>
    <row r="8">
      <c r="A8" s="48" t="inlineStr">
        <is>
          <t>Fresh input</t>
        </is>
      </c>
      <c r="B8" s="55">
        <f>m_inTok-m_cached</f>
        <v/>
      </c>
    </row>
    <row r="9">
      <c r="A9" s="48" t="inlineStr">
        <is>
          <t>Accepted tasks</t>
        </is>
      </c>
      <c r="B9" s="55">
        <f>devs*tasksDay*workdays</f>
        <v/>
      </c>
    </row>
    <row r="10">
      <c r="A10" s="48" t="inlineStr">
        <is>
          <t>Developer hours in the tool</t>
        </is>
      </c>
      <c r="B10" s="55">
        <f>devs*codeHrs*workdays</f>
        <v/>
      </c>
    </row>
    <row r="11">
      <c r="A11" s="48" t="inlineStr">
        <is>
          <t>Loaded engineer, per month</t>
        </is>
      </c>
      <c r="B11" s="57">
        <f>fteCost/12</f>
        <v/>
      </c>
    </row>
    <row r="12">
      <c r="A12" s="48" t="inlineStr">
        <is>
          <t>Loaded engineer, per hour</t>
        </is>
      </c>
      <c r="B12" s="57">
        <f>fteCost/2080</f>
        <v/>
      </c>
    </row>
    <row r="13">
      <c r="A13" s="48" t="inlineStr">
        <is>
          <t>Metered-token discount factor</t>
        </is>
      </c>
      <c r="B13" s="75">
        <f>MAX(0,1-apiDiscount)</f>
        <v/>
      </c>
    </row>
    <row r="14">
      <c r="A14" s="48" t="inlineStr">
        <is>
          <t>One session, output tok/s</t>
        </is>
      </c>
      <c r="B14" s="76">
        <f>IF(codeHrs&gt;0,outTok*1000/(codeHrs*3600),0)</f>
        <v/>
      </c>
      <c r="C14" s="68" t="inlineStr">
        <is>
          <t>the rate one developer pulls while working</t>
        </is>
      </c>
    </row>
    <row r="15">
      <c r="A15" s="48" t="inlineStr">
        <is>
          <t>Live sessions at once</t>
        </is>
      </c>
      <c r="B15" s="76">
        <f>devs*sessConc</f>
        <v/>
      </c>
    </row>
    <row r="17">
      <c r="A17" s="11" t="inlineStr">
        <is>
          <t>2. THE FAILURE FUNNEL - FIRST PASS, REPAIR PASSES, AND WHAT IS NEVER SOLVED</t>
        </is>
      </c>
      <c r="B17" s="12" t="n"/>
      <c r="C17" s="12" t="n"/>
      <c r="D17" s="12" t="n"/>
      <c r="E17" s="12" t="n"/>
      <c r="F17" s="12" t="n"/>
      <c r="G17" s="12" t="n"/>
      <c r="H17" s="12" t="n"/>
      <c r="I17" s="12" t="n"/>
      <c r="J17" s="12" t="n"/>
    </row>
    <row r="18">
      <c r="A18" s="36" t="inlineStr">
        <is>
          <t>Attempts are spent on the hopeless share too, which is exactly why retry budgets cost money. A repair pass is worse than the first because the easy wins are gone.</t>
        </is>
      </c>
    </row>
    <row r="19">
      <c r="A19" s="43" t="inlineStr">
        <is>
          <t>Pass</t>
        </is>
      </c>
      <c r="B19" s="77" t="inlineStr">
        <is>
          <t>Frontier pool in</t>
        </is>
      </c>
      <c r="C19" s="77" t="inlineStr">
        <is>
          <t>attempts</t>
        </is>
      </c>
      <c r="D19" s="77" t="inlineStr">
        <is>
          <t>solved</t>
        </is>
      </c>
      <c r="E19" s="77" t="inlineStr">
        <is>
          <t>pool out</t>
        </is>
      </c>
      <c r="F19" s="77" t="inlineStr">
        <is>
          <t>Open pool in</t>
        </is>
      </c>
      <c r="G19" s="77" t="inlineStr">
        <is>
          <t>attempts</t>
        </is>
      </c>
      <c r="H19" s="77" t="inlineStr">
        <is>
          <t>solved</t>
        </is>
      </c>
      <c r="I19" s="77" t="inlineStr">
        <is>
          <t>pool out</t>
        </is>
      </c>
    </row>
    <row r="20">
      <c r="A20" s="39" t="inlineStr">
        <is>
          <t>First pass</t>
        </is>
      </c>
      <c r="B20" s="71">
        <f>1</f>
        <v/>
      </c>
      <c r="C20" s="71">
        <f>1</f>
        <v/>
      </c>
      <c r="D20" s="71">
        <f>B20*acceptFrontier</f>
        <v/>
      </c>
      <c r="E20" s="71">
        <f>B20-D20</f>
        <v/>
      </c>
      <c r="F20" s="71">
        <f>1</f>
        <v/>
      </c>
      <c r="G20" s="71">
        <f>1</f>
        <v/>
      </c>
      <c r="H20" s="71">
        <f>F20*acceptOpen</f>
        <v/>
      </c>
      <c r="I20" s="71">
        <f>F20-H20</f>
        <v/>
      </c>
    </row>
    <row r="21">
      <c r="A21" s="39" t="inlineStr">
        <is>
          <t>Repair 1</t>
        </is>
      </c>
      <c r="B21" s="71">
        <f>E20</f>
        <v/>
      </c>
      <c r="C21" s="71">
        <f>IF(AND(1&lt;=maxRetries,E20&gt;0.000000001),B21,0)</f>
        <v/>
      </c>
      <c r="D21" s="71">
        <f>IF(AND(1&lt;=maxRetries,E20&gt;0.000000001),MAX(0,B21-hardFrontier)*repairFrontier,0)</f>
        <v/>
      </c>
      <c r="E21" s="71">
        <f>B21-D21</f>
        <v/>
      </c>
      <c r="F21" s="71">
        <f>I20</f>
        <v/>
      </c>
      <c r="G21" s="71">
        <f>IF(AND(1&lt;=maxRetries,I20&gt;0.000000001),F21,0)</f>
        <v/>
      </c>
      <c r="H21" s="71">
        <f>IF(AND(1&lt;=maxRetries,I20&gt;0.000000001),MAX(0,F21-hardOpen)*repairOpen,0)</f>
        <v/>
      </c>
      <c r="I21" s="71">
        <f>F21-H21</f>
        <v/>
      </c>
    </row>
    <row r="22">
      <c r="A22" s="39" t="inlineStr">
        <is>
          <t>Repair 2</t>
        </is>
      </c>
      <c r="B22" s="71">
        <f>E21</f>
        <v/>
      </c>
      <c r="C22" s="71">
        <f>IF(AND(2&lt;=maxRetries,E21&gt;0.000000001),B22,0)</f>
        <v/>
      </c>
      <c r="D22" s="71">
        <f>IF(AND(2&lt;=maxRetries,E21&gt;0.000000001),MAX(0,B22-hardFrontier)*repairFrontier,0)</f>
        <v/>
      </c>
      <c r="E22" s="71">
        <f>B22-D22</f>
        <v/>
      </c>
      <c r="F22" s="71">
        <f>I21</f>
        <v/>
      </c>
      <c r="G22" s="71">
        <f>IF(AND(2&lt;=maxRetries,I21&gt;0.000000001),F22,0)</f>
        <v/>
      </c>
      <c r="H22" s="71">
        <f>IF(AND(2&lt;=maxRetries,I21&gt;0.000000001),MAX(0,F22-hardOpen)*repairOpen,0)</f>
        <v/>
      </c>
      <c r="I22" s="71">
        <f>F22-H22</f>
        <v/>
      </c>
    </row>
    <row r="23">
      <c r="A23" s="39" t="inlineStr">
        <is>
          <t>Repair 3</t>
        </is>
      </c>
      <c r="B23" s="71">
        <f>E22</f>
        <v/>
      </c>
      <c r="C23" s="71">
        <f>IF(AND(3&lt;=maxRetries,E22&gt;0.000000001),B23,0)</f>
        <v/>
      </c>
      <c r="D23" s="71">
        <f>IF(AND(3&lt;=maxRetries,E22&gt;0.000000001),MAX(0,B23-hardFrontier)*repairFrontier,0)</f>
        <v/>
      </c>
      <c r="E23" s="71">
        <f>B23-D23</f>
        <v/>
      </c>
      <c r="F23" s="71">
        <f>I22</f>
        <v/>
      </c>
      <c r="G23" s="71">
        <f>IF(AND(3&lt;=maxRetries,I22&gt;0.000000001),F23,0)</f>
        <v/>
      </c>
      <c r="H23" s="71">
        <f>IF(AND(3&lt;=maxRetries,I22&gt;0.000000001),MAX(0,F23-hardOpen)*repairOpen,0)</f>
        <v/>
      </c>
      <c r="I23" s="71">
        <f>F23-H23</f>
        <v/>
      </c>
    </row>
    <row r="24">
      <c r="A24" s="39" t="inlineStr">
        <is>
          <t>Repair 4</t>
        </is>
      </c>
      <c r="B24" s="71">
        <f>E23</f>
        <v/>
      </c>
      <c r="C24" s="71">
        <f>IF(AND(4&lt;=maxRetries,E23&gt;0.000000001),B24,0)</f>
        <v/>
      </c>
      <c r="D24" s="71">
        <f>IF(AND(4&lt;=maxRetries,E23&gt;0.000000001),MAX(0,B24-hardFrontier)*repairFrontier,0)</f>
        <v/>
      </c>
      <c r="E24" s="71">
        <f>B24-D24</f>
        <v/>
      </c>
      <c r="F24" s="71">
        <f>I23</f>
        <v/>
      </c>
      <c r="G24" s="71">
        <f>IF(AND(4&lt;=maxRetries,I23&gt;0.000000001),F24,0)</f>
        <v/>
      </c>
      <c r="H24" s="71">
        <f>IF(AND(4&lt;=maxRetries,I23&gt;0.000000001),MAX(0,F24-hardOpen)*repairOpen,0)</f>
        <v/>
      </c>
      <c r="I24" s="71">
        <f>F24-H24</f>
        <v/>
      </c>
    </row>
    <row r="25">
      <c r="A25" s="39" t="inlineStr">
        <is>
          <t>Repair 5</t>
        </is>
      </c>
      <c r="B25" s="71">
        <f>E24</f>
        <v/>
      </c>
      <c r="C25" s="71">
        <f>IF(AND(5&lt;=maxRetries,E24&gt;0.000000001),B25,0)</f>
        <v/>
      </c>
      <c r="D25" s="71">
        <f>IF(AND(5&lt;=maxRetries,E24&gt;0.000000001),MAX(0,B25-hardFrontier)*repairFrontier,0)</f>
        <v/>
      </c>
      <c r="E25" s="71">
        <f>B25-D25</f>
        <v/>
      </c>
      <c r="F25" s="71">
        <f>I24</f>
        <v/>
      </c>
      <c r="G25" s="71">
        <f>IF(AND(5&lt;=maxRetries,I24&gt;0.000000001),F25,0)</f>
        <v/>
      </c>
      <c r="H25" s="71">
        <f>IF(AND(5&lt;=maxRetries,I24&gt;0.000000001),MAX(0,F25-hardOpen)*repairOpen,0)</f>
        <v/>
      </c>
      <c r="I25" s="71">
        <f>F25-H25</f>
        <v/>
      </c>
    </row>
    <row r="26">
      <c r="A26" s="41" t="inlineStr">
        <is>
          <t>Totals per unit of work started</t>
        </is>
      </c>
      <c r="C26" s="78">
        <f>SUM(C20:C25)</f>
        <v/>
      </c>
      <c r="D26" s="78">
        <f>SUM(D20:D25)</f>
        <v/>
      </c>
      <c r="E26" s="78">
        <f>E25</f>
        <v/>
      </c>
      <c r="G26" s="78">
        <f>SUM(G20:G25)</f>
        <v/>
      </c>
      <c r="H26" s="78">
        <f>SUM(H20:H25)</f>
        <v/>
      </c>
      <c r="I26" s="78">
        <f>I25</f>
        <v/>
      </c>
    </row>
    <row r="28">
      <c r="A28" s="11" t="inlineStr">
        <is>
          <t>3. HYBRID - THE OPEN MODEL TRIES FIRST, THE FRONTIER TAKES WHAT IS LEFT</t>
        </is>
      </c>
      <c r="B28" s="12" t="n"/>
      <c r="C28" s="12" t="n"/>
    </row>
    <row r="29">
      <c r="A29" s="48" t="inlineStr">
        <is>
          <t>Escalated to the frontier</t>
        </is>
      </c>
      <c r="B29" s="75">
        <f>O_unres</f>
        <v/>
      </c>
    </row>
    <row r="30">
      <c r="A30" s="48" t="inlineStr">
        <is>
          <t>Accepted overall</t>
        </is>
      </c>
      <c r="B30" s="75">
        <f>O_acc+H_esc*F_acc</f>
        <v/>
      </c>
    </row>
    <row r="31">
      <c r="A31" s="48" t="inlineStr">
        <is>
          <t>Still unresolved</t>
        </is>
      </c>
      <c r="B31" s="75">
        <f>H_esc*F_unres</f>
        <v/>
      </c>
    </row>
    <row r="32">
      <c r="A32" s="48" t="inlineStr">
        <is>
          <t>Attempts on the open tier</t>
        </is>
      </c>
      <c r="B32" s="75">
        <f>O_att</f>
        <v/>
      </c>
    </row>
    <row r="33">
      <c r="A33" s="48" t="inlineStr">
        <is>
          <t>Attempts on the frontier tier</t>
        </is>
      </c>
      <c r="B33" s="75">
        <f>H_esc*F_att</f>
        <v/>
      </c>
    </row>
    <row r="35">
      <c r="A35" s="11" t="inlineStr">
        <is>
          <t>4. EFFECTIVENESS PER STRATEGY, AGAINST THE FRONTIER YARDSTICK</t>
        </is>
      </c>
      <c r="B35" s="12" t="n"/>
      <c r="C35" s="12" t="n"/>
      <c r="D35" s="12" t="n"/>
      <c r="E35" s="12" t="n"/>
      <c r="F35" s="12" t="n"/>
      <c r="G35" s="12" t="n"/>
      <c r="H35" s="12" t="n"/>
      <c r="I35" s="12" t="n"/>
      <c r="J35" s="12" t="n"/>
    </row>
    <row r="36">
      <c r="A36" s="14" t="inlineStr">
        <is>
          <t>Strategy</t>
        </is>
      </c>
      <c r="B36" s="13" t="inlineStr">
        <is>
          <t>Attempts / accepted task</t>
        </is>
      </c>
      <c r="C36" s="13" t="inlineStr">
        <is>
          <t>on open tier</t>
        </is>
      </c>
      <c r="D36" s="13" t="inlineStr">
        <is>
          <t>on frontier tier</t>
        </is>
      </c>
      <c r="E36" s="13" t="inlineStr">
        <is>
          <t>Unfinished / accepted</t>
        </is>
      </c>
      <c r="F36" s="13" t="inlineStr">
        <is>
          <t>Token volume vs frontier</t>
        </is>
      </c>
      <c r="G36" s="13" t="inlineStr">
        <is>
          <t>own share</t>
        </is>
      </c>
      <c r="H36" s="13" t="inlineStr">
        <is>
          <t>API share</t>
        </is>
      </c>
      <c r="I36" s="13" t="inlineStr">
        <is>
          <t>Developer min / task</t>
        </is>
      </c>
      <c r="J36" s="13" t="inlineStr">
        <is>
          <t>Developer time charged $/mo</t>
        </is>
      </c>
    </row>
    <row r="37">
      <c r="A37" s="39" t="inlineStr">
        <is>
          <t>Frontier only</t>
        </is>
      </c>
      <c r="B37" s="71">
        <f>F_att/F_acc</f>
        <v/>
      </c>
      <c r="C37" s="71">
        <f>0</f>
        <v/>
      </c>
      <c r="D37" s="71">
        <f>F_att/F_acc</f>
        <v/>
      </c>
      <c r="E37" s="33">
        <f>F_unres/F_acc</f>
        <v/>
      </c>
      <c r="F37" s="35">
        <f>IF($B$37&gt;0,B37/$B$37,1)</f>
        <v/>
      </c>
      <c r="G37" s="35">
        <f>IF($B$37&gt;0,C37/$B$37,0)</f>
        <v/>
      </c>
      <c r="H37" s="35">
        <f>IF($B$37&gt;0,D37/$B$37,0)</f>
        <v/>
      </c>
      <c r="I37" s="70">
        <f>B37*minPerAttempt+IF(countFallback="Yes",E37*minPerHumanTask,0)</f>
        <v/>
      </c>
      <c r="J37" s="31">
        <f>devs*tasksDay*workdays*MAX(0,I37-baseMins)/60*devRate</f>
        <v/>
      </c>
    </row>
    <row r="38">
      <c r="A38" s="39" t="inlineStr">
        <is>
          <t>Open model only</t>
        </is>
      </c>
      <c r="B38" s="71">
        <f>O_att/O_acc</f>
        <v/>
      </c>
      <c r="C38" s="71">
        <f>O_att/O_acc</f>
        <v/>
      </c>
      <c r="D38" s="71">
        <f>0</f>
        <v/>
      </c>
      <c r="E38" s="33">
        <f>O_unres/O_acc</f>
        <v/>
      </c>
      <c r="F38" s="35">
        <f>IF($B$37&gt;0,B38/$B$37,1)</f>
        <v/>
      </c>
      <c r="G38" s="35">
        <f>IF($B$37&gt;0,C38/$B$37,0)</f>
        <v/>
      </c>
      <c r="H38" s="35">
        <f>IF($B$37&gt;0,D38/$B$37,0)</f>
        <v/>
      </c>
      <c r="I38" s="70">
        <f>B38*minPerAttempt+IF(countFallback="Yes",E38*minPerHumanTask,0)</f>
        <v/>
      </c>
      <c r="J38" s="31">
        <f>devs*tasksDay*workdays*MAX(0,I38-baseMins)/60*devRate</f>
        <v/>
      </c>
    </row>
    <row r="39">
      <c r="A39" s="39" t="inlineStr">
        <is>
          <t>Open first, frontier fallback</t>
        </is>
      </c>
      <c r="B39" s="71">
        <f>(H_openAtt+H_frontAtt)/H_acc</f>
        <v/>
      </c>
      <c r="C39" s="71">
        <f>H_openAtt/H_acc</f>
        <v/>
      </c>
      <c r="D39" s="71">
        <f>H_frontAtt/H_acc</f>
        <v/>
      </c>
      <c r="E39" s="33">
        <f>H_unres/H_acc</f>
        <v/>
      </c>
      <c r="F39" s="35">
        <f>IF($B$37&gt;0,B39/$B$37,1)</f>
        <v/>
      </c>
      <c r="G39" s="35">
        <f>IF($B$37&gt;0,C39/$B$37,0)</f>
        <v/>
      </c>
      <c r="H39" s="35">
        <f>IF($B$37&gt;0,D39/$B$37,0)</f>
        <v/>
      </c>
      <c r="I39" s="70">
        <f>B39*minPerAttempt+IF(countFallback="Yes",E39*minPerHumanTask,0)</f>
        <v/>
      </c>
      <c r="J39" s="31">
        <f>devs*tasksDay*workdays*MAX(0,I39-baseMins)/60*devRate</f>
        <v/>
      </c>
    </row>
    <row r="40">
      <c r="A40" s="41" t="inlineStr">
        <is>
          <t>Fewest minutes of the three (the baseline)</t>
        </is>
      </c>
      <c r="I40" s="79">
        <f>MIN($I$37:$I$39)</f>
        <v/>
      </c>
    </row>
    <row r="41">
      <c r="A41" s="36" t="inlineStr">
        <is>
          <t>Only the DIFFERENTIAL developer time is charged, against whichever strategy needs the fewest minutes. Ordinary review labour exists on every route and is not this model's to count.</t>
        </is>
      </c>
    </row>
    <row r="44">
      <c r="A44" s="11" t="inlineStr">
        <is>
          <t>5. SIZING THE FLEET THE OPEN MODEL WOULD NEED</t>
        </is>
      </c>
      <c r="B44" s="12" t="n"/>
      <c r="C44" s="12" t="n"/>
    </row>
    <row r="45">
      <c r="A45" s="48" t="inlineStr">
        <is>
          <t>Total parameters</t>
        </is>
      </c>
      <c r="B45" s="76">
        <f>INDEX(tbl_models,MATCH(sel_model,cat_models,0),2)</f>
        <v/>
      </c>
      <c r="C45" s="68" t="inlineStr">
        <is>
          <t>B</t>
        </is>
      </c>
    </row>
    <row r="46">
      <c r="A46" s="48" t="inlineStr">
        <is>
          <t>Active parameters</t>
        </is>
      </c>
      <c r="B46" s="76">
        <f>INDEX(tbl_models,MATCH(sel_model,cat_models,0),3)</f>
        <v/>
      </c>
      <c r="C46" s="68" t="inlineStr">
        <is>
          <t>B per token</t>
        </is>
      </c>
    </row>
    <row r="47">
      <c r="A47" s="48" t="inlineStr">
        <is>
          <t>KV per k token</t>
        </is>
      </c>
      <c r="B47" s="75">
        <f>INDEX(tbl_models,MATCH(sel_model,cat_models,0),4)</f>
        <v/>
      </c>
      <c r="C47" s="68" t="inlineStr">
        <is>
          <t>MB</t>
        </is>
      </c>
    </row>
    <row r="48">
      <c r="A48" s="48" t="inlineStr">
        <is>
          <t>Bytes per parameter</t>
        </is>
      </c>
      <c r="B48" s="75">
        <f>INDEX(tbl_quants,MATCH(sel_quant,cat_quants,0),2)</f>
        <v/>
      </c>
    </row>
    <row r="49">
      <c r="A49" s="48" t="inlineStr">
        <is>
          <t>KV factor</t>
        </is>
      </c>
      <c r="B49" s="75">
        <f>INDEX(tbl_quants,MATCH(sel_quant,cat_quants,0),3)</f>
        <v/>
      </c>
    </row>
    <row r="50">
      <c r="A50" s="48" t="inlineStr">
        <is>
          <t>Weights in memory</t>
        </is>
      </c>
      <c r="B50" s="76">
        <f>m_total*q_bytes</f>
        <v/>
      </c>
      <c r="C50" s="68" t="inlineStr">
        <is>
          <t>GB</t>
        </is>
      </c>
    </row>
    <row r="51">
      <c r="A51" s="48" t="inlineStr">
        <is>
          <t>KV cache</t>
        </is>
      </c>
      <c r="B51" s="76">
        <f>batch*ctxK*1000*m_kv*q_kv/1024</f>
        <v/>
      </c>
      <c r="C51" s="68" t="inlineStr">
        <is>
          <t>GB</t>
        </is>
      </c>
    </row>
    <row r="52">
      <c r="A52" s="48" t="inlineStr">
        <is>
          <t>Activation and fragmentation overhead</t>
        </is>
      </c>
      <c r="B52" s="76">
        <f>weightsGb*0.15</f>
        <v/>
      </c>
      <c r="C52" s="68" t="inlineStr">
        <is>
          <t>GB, 15%</t>
        </is>
      </c>
    </row>
    <row r="53">
      <c r="A53" s="48" t="inlineStr">
        <is>
          <t>Memory per replica</t>
        </is>
      </c>
      <c r="B53" s="76">
        <f>weightsGb+kvGb+ovGb</f>
        <v/>
      </c>
      <c r="C53" s="68" t="inlineStr">
        <is>
          <t>GB</t>
        </is>
      </c>
    </row>
    <row r="54">
      <c r="A54" s="48" t="inlineStr">
        <is>
          <t>Cards the memory alone needs</t>
        </is>
      </c>
      <c r="B54" s="55">
        <f>MAX(1,CEILING(vramNeed/MAX(1,gpuVram),1))</f>
        <v/>
      </c>
    </row>
    <row r="55">
      <c r="A55" s="48" t="inlineStr">
        <is>
          <t>Cards per replica</t>
        </is>
      </c>
      <c r="B55" s="55">
        <f>IF(rawCards&lt;=nodeSize,MIN(nodeSize,POWER(2,CEILING(LOG(rawCards,2)-0.0000001,1))),CEILING(rawCards/nodeSize,1)*nodeSize)</f>
        <v/>
      </c>
      <c r="C55" s="68" t="inlineStr">
        <is>
          <t>inside a node, a power of two; past it, whole nodes</t>
        </is>
      </c>
    </row>
    <row r="56">
      <c r="A56" s="48" t="inlineStr">
        <is>
          <t>Nodes per replica</t>
        </is>
      </c>
      <c r="B56" s="55">
        <f>CEILING(gpusPerReplica/nodeSize,1)</f>
        <v/>
      </c>
    </row>
    <row r="57">
      <c r="A57" s="48" t="inlineStr">
        <is>
          <t>Interconnect efficiency</t>
        </is>
      </c>
      <c r="B57" s="75">
        <f>IF(nodesPerReplica&gt;1,MAX(0.05,1-multiNodeLoss),1)</f>
        <v/>
      </c>
    </row>
    <row r="58">
      <c r="A58" s="48" t="inlineStr">
        <is>
          <t>Bytes read per token</t>
        </is>
      </c>
      <c r="B58" s="75">
        <f>m_active*q_bytes</f>
        <v/>
      </c>
      <c r="C58" s="68" t="inlineStr">
        <is>
          <t>GB</t>
        </is>
      </c>
    </row>
    <row r="59">
      <c r="A59" s="48" t="inlineStr">
        <is>
          <t>One stream</t>
        </is>
      </c>
      <c r="B59" s="55">
        <f>MIN(gpusPerReplica*MAX(1,gpuBw)*linkEff/bytesPerTok*bwEff,streamCap)</f>
        <v/>
      </c>
      <c r="C59" s="68" t="inlineStr">
        <is>
          <t>tok/s</t>
        </is>
      </c>
    </row>
    <row r="60">
      <c r="A60" s="48" t="inlineStr">
        <is>
          <t>One replica</t>
        </is>
      </c>
      <c r="B60" s="55">
        <f>perStream*MIN(batch,32)</f>
        <v/>
      </c>
      <c r="C60" s="68" t="inlineStr">
        <is>
          <t>tok/s</t>
        </is>
      </c>
    </row>
    <row r="61">
      <c r="A61" s="48" t="inlineStr">
        <is>
          <t>Peak demand, open model</t>
        </is>
      </c>
      <c r="B61" s="55">
        <f>IF(AND(workdays&gt;0,activeHrs&gt;0),m_outTok*tm_o/workdays/(activeHrs*3600)*peak,0)</f>
        <v/>
      </c>
      <c r="C61" s="68" t="inlineStr">
        <is>
          <t>tok/s in the busy hour</t>
        </is>
      </c>
    </row>
    <row r="62">
      <c r="A62" s="48" t="inlineStr">
        <is>
          <t>Replicas needed</t>
        </is>
      </c>
      <c r="B62" s="55">
        <f>IF(devs=0,0,IF(replicaTps&gt;0,MAX(1,CEILING(peakTps/replicaTps,1)),1))</f>
        <v/>
      </c>
    </row>
    <row r="63">
      <c r="A63" s="48" t="inlineStr">
        <is>
          <t>Cards in the fleet</t>
        </is>
      </c>
      <c r="B63" s="55">
        <f>replicas*gpusPerReplica</f>
        <v/>
      </c>
    </row>
    <row r="64">
      <c r="A64" s="48" t="inlineStr">
        <is>
          <t>Sustained fleet throughput</t>
        </is>
      </c>
      <c r="B64" s="55">
        <f>replicas*replicaTps</f>
        <v/>
      </c>
      <c r="C64" s="68" t="inlineStr">
        <is>
          <t>tok/s</t>
        </is>
      </c>
    </row>
    <row r="65">
      <c r="A65" s="48" t="inlineStr">
        <is>
          <t>Time to first token</t>
        </is>
      </c>
      <c r="B65" s="75">
        <f>IF(gpusPerReplica*gpuTf*linkEff*bwEff&gt;0,2*m_active*ctxK*1000/(gpusPerReplica*gpuTf*1000*linkEff*bwEff),0)</f>
        <v/>
      </c>
      <c r="C65" s="68" t="inlineStr">
        <is>
          <t>s, cold prefill with nothing cached</t>
        </is>
      </c>
    </row>
    <row r="66">
      <c r="A66" s="48" t="inlineStr">
        <is>
          <t>Checkpoint storage</t>
        </is>
      </c>
      <c r="B66" s="55">
        <f>(m_total*2+m_total*q_bytes)*MAX(1,ckpts)</f>
        <v/>
      </c>
      <c r="C66" s="68" t="inlineStr">
        <is>
          <t>GB</t>
        </is>
      </c>
    </row>
    <row r="67">
      <c r="A67" s="48" t="inlineStr">
        <is>
          <t>Fits a laptop</t>
        </is>
      </c>
      <c r="B67" s="80">
        <f>IF(weightsGb+ovGb+4&lt;=lapRam,"Yes","No")</f>
        <v/>
      </c>
    </row>
    <row r="68">
      <c r="A68" s="48" t="inlineStr">
        <is>
          <t>One laptop</t>
        </is>
      </c>
      <c r="B68" s="55">
        <f>lapBw/MAX(0.001,bytesPerTok)*bwEff</f>
        <v/>
      </c>
      <c r="C68" s="68" t="inlineStr">
        <is>
          <t>tok/s</t>
        </is>
      </c>
    </row>
    <row r="70">
      <c r="A70" s="11" t="inlineStr">
        <is>
          <t>6. THE HYBRID'S OWN FLEET - IT SERVES THE OPEN TIER ONLY</t>
        </is>
      </c>
      <c r="B70" s="12" t="n"/>
      <c r="C70" s="12" t="n"/>
    </row>
    <row r="71">
      <c r="A71" s="48" t="inlineStr">
        <is>
          <t>Peak demand, open tier only</t>
        </is>
      </c>
      <c r="B71" s="55">
        <f>IF(AND(workdays&gt;0,activeHrs&gt;0),m_outTok*own_h/workdays/(activeHrs*3600)*peak,0)</f>
        <v/>
      </c>
      <c r="C71" s="68" t="inlineStr">
        <is>
          <t>tok/s</t>
        </is>
      </c>
    </row>
    <row r="72">
      <c r="A72" s="48" t="inlineStr">
        <is>
          <t>Replicas needed</t>
        </is>
      </c>
      <c r="B72" s="55">
        <f>IF(devs=0,0,IF(replicaTps&gt;0,MAX(1,CEILING(peakTpsH/replicaTps,1)),1))</f>
        <v/>
      </c>
    </row>
    <row r="73">
      <c r="A73" s="48" t="inlineStr">
        <is>
          <t>Cards in the hybrid fleet</t>
        </is>
      </c>
      <c r="B73" s="55">
        <f>replicasH*gpusPerReplica</f>
        <v/>
      </c>
    </row>
    <row r="74">
      <c r="A74" s="48" t="inlineStr">
        <is>
          <t>Hosts</t>
        </is>
      </c>
      <c r="B74" s="55">
        <f>CEILING(gpusH/8,1)</f>
        <v/>
      </c>
    </row>
    <row r="75">
      <c r="A75" s="48" t="inlineStr">
        <is>
          <t>Sustained hybrid fleet throughput</t>
        </is>
      </c>
      <c r="B75" s="55">
        <f>replicasH*replicaTps</f>
        <v/>
      </c>
      <c r="C75" s="68" t="inlineStr">
        <is>
          <t>tok/s</t>
        </is>
      </c>
    </row>
    <row r="77">
      <c r="A77" s="11" t="inlineStr">
        <is>
          <t>7. WHAT THE IRON AND THE PEOPLE COST</t>
        </is>
      </c>
      <c r="B77" s="12" t="n"/>
      <c r="C77" s="12" t="n"/>
    </row>
    <row r="78">
      <c r="A78" s="48" t="inlineStr">
        <is>
          <t>Hosts</t>
        </is>
      </c>
      <c r="B78" s="55">
        <f>CEILING(gpus/8,1)</f>
        <v/>
      </c>
      <c r="C78" s="68" t="inlineStr">
        <is>
          <t>eight cards to a host</t>
        </is>
      </c>
    </row>
    <row r="79">
      <c r="A79" s="48" t="inlineStr">
        <is>
          <t>Cards</t>
        </is>
      </c>
      <c r="B79" s="57">
        <f>gpus*gpuBuy</f>
        <v/>
      </c>
    </row>
    <row r="80">
      <c r="A80" s="48" t="inlineStr">
        <is>
          <t>Spare cards held</t>
        </is>
      </c>
      <c r="B80" s="57">
        <f>cardsCost*spares</f>
        <v/>
      </c>
    </row>
    <row r="81">
      <c r="A81" s="48" t="inlineStr">
        <is>
          <t>Hosts, NICs and fabric</t>
        </is>
      </c>
      <c r="B81" s="57">
        <f>hosts*hostCost</f>
        <v/>
      </c>
    </row>
    <row r="82">
      <c r="A82" s="48" t="inlineStr">
        <is>
          <t>Fabric, optics and cabling</t>
        </is>
      </c>
      <c r="B82" s="57">
        <f>hosts*netFabric</f>
        <v/>
      </c>
    </row>
    <row r="83">
      <c r="A83" s="48" t="inlineStr">
        <is>
          <t>Rack, PDU and smart hands</t>
        </is>
      </c>
      <c r="B83" s="57">
        <f>hosts*installHost</f>
        <v/>
      </c>
    </row>
    <row r="84">
      <c r="A84" s="48" t="inlineStr">
        <is>
          <t>Hardware capital</t>
        </is>
      </c>
      <c r="B84" s="57">
        <f>cardsCost+sparesCost+chassisCost+fabricCost+installCost</f>
        <v/>
      </c>
    </row>
    <row r="85">
      <c r="A85" s="48" t="inlineStr">
        <is>
          <t>Setup hours</t>
        </is>
      </c>
      <c r="B85" s="55">
        <f>setupArch+hosts*setupRack+setupStack+setupEval+setupSec</f>
        <v/>
      </c>
    </row>
    <row r="86">
      <c r="A86" s="48" t="inlineStr">
        <is>
          <t>Setup labour</t>
        </is>
      </c>
      <c r="B86" s="57">
        <f>IF(labourYN="Yes",setupHours*engHr,0)</f>
        <v/>
      </c>
      <c r="C86" s="68" t="inlineStr">
        <is>
          <t>one-off, and it does NOT scale down with the team</t>
        </is>
      </c>
    </row>
    <row r="87">
      <c r="A87" s="48" t="inlineStr">
        <is>
          <t>Day-one cheque if you buy</t>
        </is>
      </c>
      <c r="B87" s="57">
        <f>hwCapex+setupLabour</f>
        <v/>
      </c>
    </row>
    <row r="88">
      <c r="A88" s="48" t="inlineStr">
        <is>
          <t>Hardware support</t>
        </is>
      </c>
      <c r="B88" s="57">
        <f>hwCapex*warranty/12</f>
        <v/>
      </c>
      <c r="C88" s="68" t="inlineStr">
        <is>
          <t>per month</t>
        </is>
      </c>
    </row>
    <row r="89">
      <c r="A89" s="48" t="inlineStr">
        <is>
          <t>Bring-up if you rent instead</t>
        </is>
      </c>
      <c r="B89" s="57">
        <f>IF(labourYN="Yes",(setupStack+setupEval+setupSec+setupArch/2)*engHr,0)</f>
        <v/>
      </c>
      <c r="C89" s="68" t="inlineStr">
        <is>
          <t>no rack, but still a serving stack, an evaluation and a security review</t>
        </is>
      </c>
    </row>
    <row r="90">
      <c r="A90" s="48" t="inlineStr">
        <is>
          <t>Staffing ramp</t>
        </is>
      </c>
      <c r="B90" s="75">
        <f>IF(platformAt&gt;soloAt,MIN(1,MAX(0,(devs-soloAt)/(platformAt-soloAt))),IF(devs&gt;soloAt,1,0))</f>
        <v/>
      </c>
      <c r="C90" s="68" t="inlineStr">
        <is>
          <t>nobody is employed to run this below the small-team threshold; full strength at platformAt</t>
        </is>
      </c>
    </row>
    <row r="91">
      <c r="A91" s="48" t="inlineStr">
        <is>
          <t>Baseline AI platform team</t>
        </is>
      </c>
      <c r="B91" s="57">
        <f>IF(AND(labourYN="Yes",ownsPlatform="No"),platformFte*fteMo*teamRamp,0)</f>
        <v/>
      </c>
      <c r="C91" s="68" t="inlineStr">
        <is>
          <t>every centralised route pays this</t>
        </is>
      </c>
    </row>
    <row r="92">
      <c r="A92" s="48" t="inlineStr">
        <is>
          <t>Fleet admin</t>
        </is>
      </c>
      <c r="B92" s="57">
        <f>IF(labourYN="Yes",adminFte*fteMo*teamRamp,0)</f>
        <v/>
      </c>
    </row>
    <row r="93">
      <c r="A93" s="48" t="inlineStr">
        <is>
          <t>Cloud plumbing</t>
        </is>
      </c>
      <c r="B93" s="57">
        <f>IF(labourYN="Yes",cloudOps*fteMo*teamRamp,0)</f>
        <v/>
      </c>
    </row>
    <row r="94">
      <c r="A94" s="48" t="inlineStr">
        <is>
          <t>Fleet draw</t>
        </is>
      </c>
      <c r="B94" s="76">
        <f>gpus*gpuW/1000*1.25</f>
        <v/>
      </c>
      <c r="C94" s="68" t="inlineStr">
        <is>
          <t>kW, +25% for host, NIC and fans</t>
        </is>
      </c>
    </row>
    <row r="95">
      <c r="A95" s="48" t="inlineStr">
        <is>
          <t>Storage</t>
        </is>
      </c>
      <c r="B95" s="57">
        <f>storageGb*storGb</f>
        <v/>
      </c>
      <c r="C95" s="68" t="inlineStr">
        <is>
          <t>per month</t>
        </is>
      </c>
    </row>
    <row r="97">
      <c r="A97" s="11" t="inlineStr">
        <is>
          <t>8. THE HYBRID: BUY ITS FLEET, OR RENT IT?</t>
        </is>
      </c>
      <c r="B97" s="12" t="n"/>
      <c r="C97" s="12" t="n"/>
    </row>
    <row r="98">
      <c r="A98" s="48" t="inlineStr">
        <is>
          <t>Hybrid fleet draw</t>
        </is>
      </c>
      <c r="B98" s="76">
        <f>gpusH*gpuW/1000*1.25</f>
        <v/>
      </c>
      <c r="C98" s="68" t="inlineStr">
        <is>
          <t>kW</t>
        </is>
      </c>
    </row>
    <row r="99">
      <c r="A99" s="48" t="inlineStr">
        <is>
          <t>Hybrid hardware capital</t>
        </is>
      </c>
      <c r="B99" s="57">
        <f>gpusH*gpuBuy*(1+spares)+hostsH*(hostCost+netFabric+installHost)</f>
        <v/>
      </c>
      <c r="C99" s="68" t="inlineStr">
        <is>
          <t>its OWN fleet, not the standalone one</t>
        </is>
      </c>
    </row>
    <row r="100">
      <c r="A100" s="48" t="inlineStr">
        <is>
          <t>Written down per month</t>
        </is>
      </c>
      <c r="B100" s="57">
        <f>hHwCapex/amort</f>
        <v/>
      </c>
    </row>
    <row r="101">
      <c r="A101" s="48" t="inlineStr">
        <is>
          <t>Power, rack, storage and support</t>
        </is>
      </c>
      <c r="B101" s="57">
        <f>hKw*pue*730*kwhDc+hKw*coloKw+storMo+hHwCapex*warranty/12</f>
        <v/>
      </c>
    </row>
    <row r="102">
      <c r="A102" s="48" t="inlineStr">
        <is>
          <t>Rent the same fleet instead</t>
        </is>
      </c>
      <c r="B102" s="57">
        <f>gpusH*gpuRent*730*rentUtil</f>
        <v/>
      </c>
    </row>
    <row r="103">
      <c r="A103" s="48" t="inlineStr">
        <is>
          <t>Total if bought</t>
        </is>
      </c>
      <c r="B103" s="57">
        <f>hybridFleetCapex+hybridFleetPower+setupLabour/amort</f>
        <v/>
      </c>
    </row>
    <row r="104">
      <c r="A104" s="48" t="inlineStr">
        <is>
          <t>Total if rented</t>
        </is>
      </c>
      <c r="B104" s="57">
        <f>hybridRentMo+storMo+rentSetup/amort</f>
        <v/>
      </c>
    </row>
    <row r="105">
      <c r="A105" s="48" t="inlineStr">
        <is>
          <t>Cheaper to buy it?</t>
        </is>
      </c>
      <c r="B105" s="80">
        <f>IF(hybridBuyTotal&lt;=hybridRentTotal,"Yes","No")</f>
        <v/>
      </c>
    </row>
    <row r="108">
      <c r="A108" s="11" t="inlineStr">
        <is>
          <t>9. THE ROUTES - ONE ROW EACH, EVERY COLUMN A FORMULA</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row>
    <row r="109">
      <c r="A109" s="14" t="inlineStr">
        <is>
          <t>Route</t>
        </is>
      </c>
      <c r="B109" s="14" t="inlineStr">
        <is>
          <t>Group</t>
        </is>
      </c>
      <c r="C109" s="13" t="inlineStr">
        <is>
          <t>Hardware</t>
        </is>
      </c>
      <c r="D109" s="13" t="inlineStr">
        <is>
          <t>Power &amp; rack</t>
        </is>
      </c>
      <c r="E109" s="13" t="inlineStr">
        <is>
          <t>People</t>
        </is>
      </c>
      <c r="F109" s="13" t="inlineStr">
        <is>
          <t>Tokens, seats, rent</t>
        </is>
      </c>
      <c r="G109" s="13" t="inlineStr">
        <is>
          <t>Developer time</t>
        </is>
      </c>
      <c r="H109" s="13" t="inlineStr">
        <is>
          <t>Monthly total</t>
        </is>
      </c>
      <c r="I109" s="13" t="inlineStr">
        <is>
          <t>Up front</t>
        </is>
      </c>
      <c r="J109" s="13" t="inlineStr">
        <is>
          <t>Monthly cash</t>
        </is>
      </c>
      <c r="K109" s="13" t="inlineStr">
        <is>
          <t>Full term</t>
        </is>
      </c>
      <c r="L109" s="13" t="inlineStr">
        <is>
          <t>Cash, full term</t>
        </is>
      </c>
      <c r="M109" s="13" t="inlineStr">
        <is>
          <t>Year-one cash</t>
        </is>
      </c>
      <c r="N109" s="13" t="inlineStr">
        <is>
          <t>Per dev / mo</t>
        </is>
      </c>
      <c r="O109" s="13" t="inlineStr">
        <is>
          <t>AI $ / task</t>
        </is>
      </c>
      <c r="P109" s="13" t="inlineStr">
        <is>
          <t>Unfinished</t>
        </is>
      </c>
      <c r="Q109" s="13" t="inlineStr">
        <is>
          <t>Sustained tok/s</t>
        </is>
      </c>
      <c r="R109" s="13" t="inlineStr">
        <is>
          <t>Token mult</t>
        </is>
      </c>
      <c r="S109" s="13" t="inlineStr">
        <is>
          <t>Session tok/s</t>
        </is>
      </c>
      <c r="T109" s="13" t="inlineStr">
        <is>
          <t>Live sessions</t>
        </is>
      </c>
      <c r="U109" s="13" t="inlineStr">
        <is>
          <t>Developers held</t>
        </is>
      </c>
      <c r="V109" s="13" t="inlineStr">
        <is>
          <t>Headroom</t>
        </is>
      </c>
      <c r="W109" s="13" t="inlineStr">
        <is>
          <t>Rank</t>
        </is>
      </c>
      <c r="X109" s="38" t="inlineStr">
        <is>
          <t>id</t>
        </is>
      </c>
    </row>
    <row r="110">
      <c r="A110" s="39" t="inlineStr">
        <is>
          <t>Local model on laptops</t>
        </is>
      </c>
      <c r="B110" s="2" t="inlineStr">
        <is>
          <t>Your own hardware</t>
        </is>
      </c>
      <c r="C110" s="31">
        <f>devs*lapUplift/amort</f>
        <v/>
      </c>
      <c r="D110" s="31">
        <f>devs*lapWatts/1000*codeHrs*workdays*kwhOffice</f>
        <v/>
      </c>
      <c r="E110" s="31">
        <f>IF(labourYN="Yes",devs*lapSupport/12*itRate,0)</f>
        <v/>
      </c>
      <c r="F110" s="31">
        <f>0</f>
        <v/>
      </c>
      <c r="G110" s="31">
        <f>drag_o</f>
        <v/>
      </c>
      <c r="H110" s="64">
        <f>SUM(C110:G110)</f>
        <v/>
      </c>
      <c r="I110" s="31">
        <f>devs*lapUplift</f>
        <v/>
      </c>
      <c r="J110" s="31">
        <f>D110+E110+F110+G110</f>
        <v/>
      </c>
      <c r="K110" s="31">
        <f>H110*horizon</f>
        <v/>
      </c>
      <c r="L110" s="31">
        <f>I110+J110*horizon</f>
        <v/>
      </c>
      <c r="M110" s="31">
        <f>I110+J110*MIN(12,horizon)</f>
        <v/>
      </c>
      <c r="N110" s="31">
        <f>IF(devs&gt;0,H110/devs,0)</f>
        <v/>
      </c>
      <c r="O110" s="32">
        <f>IF(acceptedTasks&gt;0,H110/acceptedTasks,0)</f>
        <v/>
      </c>
      <c r="P110" s="33">
        <f>unres_o</f>
        <v/>
      </c>
      <c r="Q110" s="34">
        <f>devs*lapTps</f>
        <v/>
      </c>
      <c r="R110" s="35">
        <f>IF(tm_o&gt;0,tm_o,1)</f>
        <v/>
      </c>
      <c r="S110" s="70">
        <f>sessTps*R110</f>
        <v/>
      </c>
      <c r="T110" s="34">
        <f>devs</f>
        <v/>
      </c>
      <c r="U110" s="81">
        <f>"scales 1:1"</f>
        <v/>
      </c>
      <c r="V110" s="35">
        <f>IF(S110&gt;0,(lapTps)/S110,0)</f>
        <v/>
      </c>
      <c r="W110" s="34">
        <f>RANK(H110,$H$110:$H$119,1)+COUNTIF($H$110:H110,H110)-1</f>
        <v/>
      </c>
      <c r="X110" s="2" t="inlineStr">
        <is>
          <t>laptop</t>
        </is>
      </c>
    </row>
    <row r="111">
      <c r="A111" s="39" t="inlineStr">
        <is>
          <t>GPUs you buy</t>
        </is>
      </c>
      <c r="B111" s="2" t="inlineStr">
        <is>
          <t>Your own hardware</t>
        </is>
      </c>
      <c r="C111" s="31">
        <f>hwCapex/amort</f>
        <v/>
      </c>
      <c r="D111" s="31">
        <f>fleetKw*pue*730*kwhDc+fleetKw*coloKw+storMo+warrantyMo</f>
        <v/>
      </c>
      <c r="E111" s="31">
        <f>platformMo+adminMo+setupLabour/amort</f>
        <v/>
      </c>
      <c r="F111" s="31">
        <f>0</f>
        <v/>
      </c>
      <c r="G111" s="31">
        <f>drag_o</f>
        <v/>
      </c>
      <c r="H111" s="64">
        <f>SUM(C111:G111)</f>
        <v/>
      </c>
      <c r="I111" s="31">
        <f>buyUpfront</f>
        <v/>
      </c>
      <c r="J111" s="31">
        <f>D111+E111+F111+G111</f>
        <v/>
      </c>
      <c r="K111" s="31">
        <f>H111*horizon</f>
        <v/>
      </c>
      <c r="L111" s="31">
        <f>I111+J111*horizon</f>
        <v/>
      </c>
      <c r="M111" s="31">
        <f>I111+J111*MIN(12,horizon)</f>
        <v/>
      </c>
      <c r="N111" s="31">
        <f>IF(devs&gt;0,H111/devs,0)</f>
        <v/>
      </c>
      <c r="O111" s="32">
        <f>IF(acceptedTasks&gt;0,H111/acceptedTasks,0)</f>
        <v/>
      </c>
      <c r="P111" s="33">
        <f>unres_o</f>
        <v/>
      </c>
      <c r="Q111" s="34">
        <f>fleetTps</f>
        <v/>
      </c>
      <c r="R111" s="35">
        <f>IF(tm_o&gt;0,tm_o,1)</f>
        <v/>
      </c>
      <c r="S111" s="70">
        <f>sessTps*R111</f>
        <v/>
      </c>
      <c r="T111" s="34">
        <f>IF(S111&gt;0,Q111/S111,0)</f>
        <v/>
      </c>
      <c r="U111" s="34">
        <f>IF(sessConc&gt;0,T111/sessConc,0)</f>
        <v/>
      </c>
      <c r="V111" s="35">
        <f>IF(liveSessions*S111&gt;0,Q111/(liveSessions*S111),0)</f>
        <v/>
      </c>
      <c r="W111" s="34">
        <f>RANK(H111,$H$110:$H$119,1)+COUNTIF($H$110:H111,H111)-1</f>
        <v/>
      </c>
      <c r="X111" s="2" t="inlineStr">
        <is>
          <t>buy</t>
        </is>
      </c>
    </row>
    <row r="112">
      <c r="A112" s="39" t="inlineStr">
        <is>
          <t>GPUs you rent by the hour</t>
        </is>
      </c>
      <c r="B112" s="2" t="inlineStr">
        <is>
          <t>Your own hardware</t>
        </is>
      </c>
      <c r="C112" s="31">
        <f>0</f>
        <v/>
      </c>
      <c r="D112" s="31">
        <f>storMo</f>
        <v/>
      </c>
      <c r="E112" s="31">
        <f>platformMo+adminMo+rentSetup/amort</f>
        <v/>
      </c>
      <c r="F112" s="31">
        <f>gpus*gpuRent*730*rentUtil</f>
        <v/>
      </c>
      <c r="G112" s="31">
        <f>drag_o</f>
        <v/>
      </c>
      <c r="H112" s="64">
        <f>SUM(C112:G112)</f>
        <v/>
      </c>
      <c r="I112" s="31">
        <f>rentSetup</f>
        <v/>
      </c>
      <c r="J112" s="31">
        <f>D112+E112+F112+G112</f>
        <v/>
      </c>
      <c r="K112" s="31">
        <f>H112*horizon</f>
        <v/>
      </c>
      <c r="L112" s="31">
        <f>I112+J112*horizon</f>
        <v/>
      </c>
      <c r="M112" s="31">
        <f>I112+J112*MIN(12,horizon)</f>
        <v/>
      </c>
      <c r="N112" s="31">
        <f>IF(devs&gt;0,H112/devs,0)</f>
        <v/>
      </c>
      <c r="O112" s="32">
        <f>IF(acceptedTasks&gt;0,H112/acceptedTasks,0)</f>
        <v/>
      </c>
      <c r="P112" s="33">
        <f>unres_o</f>
        <v/>
      </c>
      <c r="Q112" s="34">
        <f>fleetTps</f>
        <v/>
      </c>
      <c r="R112" s="35">
        <f>IF(tm_o&gt;0,tm_o,1)</f>
        <v/>
      </c>
      <c r="S112" s="70">
        <f>sessTps*R112</f>
        <v/>
      </c>
      <c r="T112" s="34">
        <f>IF(S112&gt;0,Q112/S112,0)</f>
        <v/>
      </c>
      <c r="U112" s="34">
        <f>IF(sessConc&gt;0,T112/sessConc,0)</f>
        <v/>
      </c>
      <c r="V112" s="35">
        <f>IF(liveSessions*S112&gt;0,Q112/(liveSessions*S112),0)</f>
        <v/>
      </c>
      <c r="W112" s="34">
        <f>RANK(H112,$H$110:$H$119,1)+COUNTIF($H$110:H112,H112)-1</f>
        <v/>
      </c>
      <c r="X112" s="2" t="inlineStr">
        <is>
          <t>rent</t>
        </is>
      </c>
    </row>
    <row r="113">
      <c r="A113" s="39" t="inlineStr">
        <is>
          <t>Open model, hosted by someone else</t>
        </is>
      </c>
      <c r="B113" s="2" t="inlineStr">
        <is>
          <t>Serverless open weights</t>
        </is>
      </c>
      <c r="C113" s="31">
        <f>0</f>
        <v/>
      </c>
      <c r="D113" s="31">
        <f>0</f>
        <v/>
      </c>
      <c r="E113" s="31">
        <f>platformMo</f>
        <v/>
      </c>
      <c r="F113" s="31">
        <f>(m_fresh*tm_o/1000000*orIn+m_cached*tm_o/1000000*orCache+m_outTok*tm_o/1000000*orOut)*disc*(1+orFee)</f>
        <v/>
      </c>
      <c r="G113" s="31">
        <f>drag_o</f>
        <v/>
      </c>
      <c r="H113" s="64">
        <f>SUM(C113:G113)</f>
        <v/>
      </c>
      <c r="I113" s="31">
        <f>0</f>
        <v/>
      </c>
      <c r="J113" s="31">
        <f>D113+E113+F113+G113</f>
        <v/>
      </c>
      <c r="K113" s="31">
        <f>H113*horizon</f>
        <v/>
      </c>
      <c r="L113" s="31">
        <f>I113+J113*horizon</f>
        <v/>
      </c>
      <c r="M113" s="31">
        <f>I113+J113*MIN(12,horizon)</f>
        <v/>
      </c>
      <c r="N113" s="31">
        <f>IF(devs&gt;0,H113/devs,0)</f>
        <v/>
      </c>
      <c r="O113" s="32">
        <f>IF(acceptedTasks&gt;0,H113/acceptedTasks,0)</f>
        <v/>
      </c>
      <c r="P113" s="33">
        <f>unres_o</f>
        <v/>
      </c>
      <c r="Q113" s="34">
        <f>orTpm*1000/60</f>
        <v/>
      </c>
      <c r="R113" s="35">
        <f>IF(tm_o&gt;0,tm_o,1)</f>
        <v/>
      </c>
      <c r="S113" s="70">
        <f>sessTps*R113</f>
        <v/>
      </c>
      <c r="T113" s="34">
        <f>IF(S113&gt;0,Q113/S113,0)</f>
        <v/>
      </c>
      <c r="U113" s="34">
        <f>IF(sessConc&gt;0,T113/sessConc,0)</f>
        <v/>
      </c>
      <c r="V113" s="35">
        <f>IF(liveSessions*S113&gt;0,Q113/(liveSessions*S113),0)</f>
        <v/>
      </c>
      <c r="W113" s="34">
        <f>RANK(H113,$H$110:$H$119,1)+COUNTIF($H$110:H113,H113)-1</f>
        <v/>
      </c>
      <c r="X113" s="2" t="inlineStr">
        <is>
          <t>serverless</t>
        </is>
      </c>
    </row>
    <row r="114">
      <c r="A114" s="39" t="inlineStr">
        <is>
          <t>AWS Bedrock</t>
        </is>
      </c>
      <c r="B114" s="2" t="inlineStr">
        <is>
          <t>Cloud platform</t>
        </is>
      </c>
      <c r="C114" s="31">
        <f>0</f>
        <v/>
      </c>
      <c r="D114" s="31">
        <f>0</f>
        <v/>
      </c>
      <c r="E114" s="31">
        <f>platformMo+cloudOpsMo</f>
        <v/>
      </c>
      <c r="F114" s="31">
        <f>(m_fresh*1/1000000*bedIn+m_cached*1/1000000*bedCache+m_outTok*1/1000000*bedOut)*disc</f>
        <v/>
      </c>
      <c r="G114" s="31">
        <f>drag_f</f>
        <v/>
      </c>
      <c r="H114" s="64">
        <f>SUM(C114:G114)</f>
        <v/>
      </c>
      <c r="I114" s="31">
        <f>0</f>
        <v/>
      </c>
      <c r="J114" s="31">
        <f>D114+E114+F114+G114</f>
        <v/>
      </c>
      <c r="K114" s="31">
        <f>H114*horizon</f>
        <v/>
      </c>
      <c r="L114" s="31">
        <f>I114+J114*horizon</f>
        <v/>
      </c>
      <c r="M114" s="31">
        <f>I114+J114*MIN(12,horizon)</f>
        <v/>
      </c>
      <c r="N114" s="31">
        <f>IF(devs&gt;0,H114/devs,0)</f>
        <v/>
      </c>
      <c r="O114" s="32">
        <f>IF(acceptedTasks&gt;0,H114/acceptedTasks,0)</f>
        <v/>
      </c>
      <c r="P114" s="33">
        <f>unres_f</f>
        <v/>
      </c>
      <c r="Q114" s="34">
        <f>bedTpm*1000/60</f>
        <v/>
      </c>
      <c r="R114" s="35">
        <f>IF(tm_f&gt;0,tm_f,1)</f>
        <v/>
      </c>
      <c r="S114" s="70">
        <f>sessTps*R114</f>
        <v/>
      </c>
      <c r="T114" s="34">
        <f>IF(S114&gt;0,Q114/S114,0)</f>
        <v/>
      </c>
      <c r="U114" s="34">
        <f>IF(sessConc&gt;0,T114/sessConc,0)</f>
        <v/>
      </c>
      <c r="V114" s="35">
        <f>IF(liveSessions*S114&gt;0,Q114/(liveSessions*S114),0)</f>
        <v/>
      </c>
      <c r="W114" s="34">
        <f>RANK(H114,$H$110:$H$119,1)+COUNTIF($H$110:H114,H114)-1</f>
        <v/>
      </c>
      <c r="X114" s="2" t="inlineStr">
        <is>
          <t>bedrock</t>
        </is>
      </c>
    </row>
    <row r="115">
      <c r="A115" s="39" t="inlineStr">
        <is>
          <t>Azure OpenAI</t>
        </is>
      </c>
      <c r="B115" s="2" t="inlineStr">
        <is>
          <t>Cloud platform</t>
        </is>
      </c>
      <c r="C115" s="31">
        <f>0</f>
        <v/>
      </c>
      <c r="D115" s="31">
        <f>0</f>
        <v/>
      </c>
      <c r="E115" s="31">
        <f>platformMo+cloudOpsMo</f>
        <v/>
      </c>
      <c r="F115" s="31">
        <f>(m_fresh*1/1000000*azIn+m_cached*1/1000000*azCache+m_outTok*1/1000000*azOut)*disc</f>
        <v/>
      </c>
      <c r="G115" s="31">
        <f>drag_f</f>
        <v/>
      </c>
      <c r="H115" s="64">
        <f>SUM(C115:G115)</f>
        <v/>
      </c>
      <c r="I115" s="31">
        <f>0</f>
        <v/>
      </c>
      <c r="J115" s="31">
        <f>D115+E115+F115+G115</f>
        <v/>
      </c>
      <c r="K115" s="31">
        <f>H115*horizon</f>
        <v/>
      </c>
      <c r="L115" s="31">
        <f>I115+J115*horizon</f>
        <v/>
      </c>
      <c r="M115" s="31">
        <f>I115+J115*MIN(12,horizon)</f>
        <v/>
      </c>
      <c r="N115" s="31">
        <f>IF(devs&gt;0,H115/devs,0)</f>
        <v/>
      </c>
      <c r="O115" s="32">
        <f>IF(acceptedTasks&gt;0,H115/acceptedTasks,0)</f>
        <v/>
      </c>
      <c r="P115" s="33">
        <f>unres_f</f>
        <v/>
      </c>
      <c r="Q115" s="34">
        <f>azTpm*1000/60</f>
        <v/>
      </c>
      <c r="R115" s="35">
        <f>IF(tm_f&gt;0,tm_f,1)</f>
        <v/>
      </c>
      <c r="S115" s="70">
        <f>sessTps*R115</f>
        <v/>
      </c>
      <c r="T115" s="34">
        <f>IF(S115&gt;0,Q115/S115,0)</f>
        <v/>
      </c>
      <c r="U115" s="34">
        <f>IF(sessConc&gt;0,T115/sessConc,0)</f>
        <v/>
      </c>
      <c r="V115" s="35">
        <f>IF(liveSessions*S115&gt;0,Q115/(liveSessions*S115),0)</f>
        <v/>
      </c>
      <c r="W115" s="34">
        <f>RANK(H115,$H$110:$H$119,1)+COUNTIF($H$110:H115,H115)-1</f>
        <v/>
      </c>
      <c r="X115" s="2" t="inlineStr">
        <is>
          <t>azure</t>
        </is>
      </c>
    </row>
    <row r="116">
      <c r="A116" s="39" t="inlineStr">
        <is>
          <t>Anthropic API</t>
        </is>
      </c>
      <c r="B116" s="2" t="inlineStr">
        <is>
          <t>Direct from the lab</t>
        </is>
      </c>
      <c r="C116" s="31">
        <f>0</f>
        <v/>
      </c>
      <c r="D116" s="31">
        <f>0</f>
        <v/>
      </c>
      <c r="E116" s="31">
        <f>platformMo</f>
        <v/>
      </c>
      <c r="F116" s="31">
        <f>(m_fresh*1/1000000*anIn+m_cached*1/1000000*anCache+m_outTok*1/1000000*anOut)*disc</f>
        <v/>
      </c>
      <c r="G116" s="31">
        <f>drag_f</f>
        <v/>
      </c>
      <c r="H116" s="64">
        <f>SUM(C116:G116)</f>
        <v/>
      </c>
      <c r="I116" s="31">
        <f>0</f>
        <v/>
      </c>
      <c r="J116" s="31">
        <f>D116+E116+F116+G116</f>
        <v/>
      </c>
      <c r="K116" s="31">
        <f>H116*horizon</f>
        <v/>
      </c>
      <c r="L116" s="31">
        <f>I116+J116*horizon</f>
        <v/>
      </c>
      <c r="M116" s="31">
        <f>I116+J116*MIN(12,horizon)</f>
        <v/>
      </c>
      <c r="N116" s="31">
        <f>IF(devs&gt;0,H116/devs,0)</f>
        <v/>
      </c>
      <c r="O116" s="32">
        <f>IF(acceptedTasks&gt;0,H116/acceptedTasks,0)</f>
        <v/>
      </c>
      <c r="P116" s="33">
        <f>unres_f</f>
        <v/>
      </c>
      <c r="Q116" s="34">
        <f>anTpm*1000/60</f>
        <v/>
      </c>
      <c r="R116" s="35">
        <f>IF(tm_f&gt;0,tm_f,1)</f>
        <v/>
      </c>
      <c r="S116" s="70">
        <f>sessTps*R116</f>
        <v/>
      </c>
      <c r="T116" s="34">
        <f>IF(S116&gt;0,Q116/S116,0)</f>
        <v/>
      </c>
      <c r="U116" s="34">
        <f>IF(sessConc&gt;0,T116/sessConc,0)</f>
        <v/>
      </c>
      <c r="V116" s="35">
        <f>IF(liveSessions*S116&gt;0,Q116/(liveSessions*S116),0)</f>
        <v/>
      </c>
      <c r="W116" s="34">
        <f>RANK(H116,$H$110:$H$119,1)+COUNTIF($H$110:H116,H116)-1</f>
        <v/>
      </c>
      <c r="X116" s="2" t="inlineStr">
        <is>
          <t>anthropic</t>
        </is>
      </c>
    </row>
    <row r="117">
      <c r="A117" s="39" t="inlineStr">
        <is>
          <t>OpenAI API</t>
        </is>
      </c>
      <c r="B117" s="2" t="inlineStr">
        <is>
          <t>Direct from the lab</t>
        </is>
      </c>
      <c r="C117" s="31">
        <f>0</f>
        <v/>
      </c>
      <c r="D117" s="31">
        <f>0</f>
        <v/>
      </c>
      <c r="E117" s="31">
        <f>platformMo</f>
        <v/>
      </c>
      <c r="F117" s="31">
        <f>(m_fresh*1/1000000*oaIn+m_cached*1/1000000*oaCache+m_outTok*1/1000000*oaOut)*disc</f>
        <v/>
      </c>
      <c r="G117" s="31">
        <f>drag_f</f>
        <v/>
      </c>
      <c r="H117" s="64">
        <f>SUM(C117:G117)</f>
        <v/>
      </c>
      <c r="I117" s="31">
        <f>0</f>
        <v/>
      </c>
      <c r="J117" s="31">
        <f>D117+E117+F117+G117</f>
        <v/>
      </c>
      <c r="K117" s="31">
        <f>H117*horizon</f>
        <v/>
      </c>
      <c r="L117" s="31">
        <f>I117+J117*horizon</f>
        <v/>
      </c>
      <c r="M117" s="31">
        <f>I117+J117*MIN(12,horizon)</f>
        <v/>
      </c>
      <c r="N117" s="31">
        <f>IF(devs&gt;0,H117/devs,0)</f>
        <v/>
      </c>
      <c r="O117" s="32">
        <f>IF(acceptedTasks&gt;0,H117/acceptedTasks,0)</f>
        <v/>
      </c>
      <c r="P117" s="33">
        <f>unres_f</f>
        <v/>
      </c>
      <c r="Q117" s="34">
        <f>oaTpm*1000/60</f>
        <v/>
      </c>
      <c r="R117" s="35">
        <f>IF(tm_f&gt;0,tm_f,1)</f>
        <v/>
      </c>
      <c r="S117" s="70">
        <f>sessTps*R117</f>
        <v/>
      </c>
      <c r="T117" s="34">
        <f>IF(S117&gt;0,Q117/S117,0)</f>
        <v/>
      </c>
      <c r="U117" s="34">
        <f>IF(sessConc&gt;0,T117/sessConc,0)</f>
        <v/>
      </c>
      <c r="V117" s="35">
        <f>IF(liveSessions*S117&gt;0,Q117/(liveSessions*S117),0)</f>
        <v/>
      </c>
      <c r="W117" s="34">
        <f>RANK(H117,$H$110:$H$119,1)+COUNTIF($H$110:H117,H117)-1</f>
        <v/>
      </c>
      <c r="X117" s="2" t="inlineStr">
        <is>
          <t>openai</t>
        </is>
      </c>
    </row>
    <row r="118">
      <c r="A118" s="39" t="inlineStr">
        <is>
          <t>Open model, frontier fallback</t>
        </is>
      </c>
      <c r="B118" s="2" t="inlineStr">
        <is>
          <t>Hybrid</t>
        </is>
      </c>
      <c r="C118" s="31">
        <f>IF(hybridBuy="Yes",hybridFleetCapex,0)</f>
        <v/>
      </c>
      <c r="D118" s="31">
        <f>IF(hybridBuy="Yes",hybridFleetPower,storMo)</f>
        <v/>
      </c>
      <c r="E118" s="31">
        <f>platformMo+adminMo+IF(hybridBuy="Yes",setupLabour,rentSetup)/amort</f>
        <v/>
      </c>
      <c r="F118" s="31">
        <f>IF(hybridBuy="Yes",0,hybridRentMo)+(m_fresh*api_h/1000000*anIn+m_cached*api_h/1000000*anCache+m_outTok*api_h/1000000*anOut)*disc</f>
        <v/>
      </c>
      <c r="G118" s="31">
        <f>drag_h</f>
        <v/>
      </c>
      <c r="H118" s="64">
        <f>SUM(C118:G118)</f>
        <v/>
      </c>
      <c r="I118" s="31">
        <f>IF(hybridBuy="Yes",hHwCapex+setupLabour,rentSetup)</f>
        <v/>
      </c>
      <c r="J118" s="31">
        <f>D118+E118+F118+G118</f>
        <v/>
      </c>
      <c r="K118" s="31">
        <f>H118*horizon</f>
        <v/>
      </c>
      <c r="L118" s="31">
        <f>I118+J118*horizon</f>
        <v/>
      </c>
      <c r="M118" s="31">
        <f>I118+J118*MIN(12,horizon)</f>
        <v/>
      </c>
      <c r="N118" s="31">
        <f>IF(devs&gt;0,H118/devs,0)</f>
        <v/>
      </c>
      <c r="O118" s="32">
        <f>IF(acceptedTasks&gt;0,H118/acceptedTasks,0)</f>
        <v/>
      </c>
      <c r="P118" s="33">
        <f>unres_h</f>
        <v/>
      </c>
      <c r="Q118" s="34">
        <f>fleetTpsH</f>
        <v/>
      </c>
      <c r="R118" s="35">
        <f>IF(own_h&gt;0,own_h,1)</f>
        <v/>
      </c>
      <c r="S118" s="70">
        <f>sessTps*R118</f>
        <v/>
      </c>
      <c r="T118" s="34">
        <f>IF(S118&gt;0,Q118/S118,0)</f>
        <v/>
      </c>
      <c r="U118" s="34">
        <f>IF(sessConc&gt;0,T118/sessConc,0)</f>
        <v/>
      </c>
      <c r="V118" s="35">
        <f>IF(liveSessions*S118&gt;0,Q118/(liveSessions*S118),0)</f>
        <v/>
      </c>
      <c r="W118" s="34">
        <f>RANK(H118,$H$110:$H$119,1)+COUNTIF($H$110:H118,H118)-1</f>
        <v/>
      </c>
      <c r="X118" s="2" t="inlineStr">
        <is>
          <t>hybrid</t>
        </is>
      </c>
    </row>
    <row r="119">
      <c r="A119" s="39" t="inlineStr">
        <is>
          <t>Flat per-seat plans</t>
        </is>
      </c>
      <c r="B119" s="2" t="inlineStr">
        <is>
          <t>Direct from the lab</t>
        </is>
      </c>
      <c r="C119" s="31">
        <f>0</f>
        <v/>
      </c>
      <c r="D119" s="31">
        <f>0</f>
        <v/>
      </c>
      <c r="E119" s="31">
        <f>platformMo</f>
        <v/>
      </c>
      <c r="F119" s="31">
        <f>devs*(seat+IF(ownsBase="Yes",0,seatBase))</f>
        <v/>
      </c>
      <c r="G119" s="31">
        <f>drag_f</f>
        <v/>
      </c>
      <c r="H119" s="64">
        <f>SUM(C119:G119)</f>
        <v/>
      </c>
      <c r="I119" s="31">
        <f>0</f>
        <v/>
      </c>
      <c r="J119" s="31">
        <f>D119+E119+F119+G119</f>
        <v/>
      </c>
      <c r="K119" s="31">
        <f>H119*horizon</f>
        <v/>
      </c>
      <c r="L119" s="31">
        <f>I119+J119*horizon</f>
        <v/>
      </c>
      <c r="M119" s="31">
        <f>I119+J119*MIN(12,horizon)</f>
        <v/>
      </c>
      <c r="N119" s="31">
        <f>IF(devs&gt;0,H119/devs,0)</f>
        <v/>
      </c>
      <c r="O119" s="32">
        <f>IF(acceptedTasks&gt;0,H119/acceptedTasks,0)</f>
        <v/>
      </c>
      <c r="P119" s="33">
        <f>unres_f</f>
        <v/>
      </c>
      <c r="Q119" s="34">
        <f>devs*seatTpm/60</f>
        <v/>
      </c>
      <c r="R119" s="35">
        <f>IF(tm_f&gt;0,tm_f,1)</f>
        <v/>
      </c>
      <c r="S119" s="70">
        <f>sessTps*R119</f>
        <v/>
      </c>
      <c r="T119" s="34">
        <f>devs</f>
        <v/>
      </c>
      <c r="U119" s="81">
        <f>"scales 1:1"</f>
        <v/>
      </c>
      <c r="V119" s="35">
        <f>IF(S119&gt;0,(seatTpm/60)/S119,0)</f>
        <v/>
      </c>
      <c r="W119" s="34">
        <f>RANK(H119,$H$110:$H$119,1)+COUNTIF($H$110:H119,H119)-1</f>
        <v/>
      </c>
      <c r="X119" s="2" t="inlineStr">
        <is>
          <t>seats</t>
        </is>
      </c>
    </row>
    <row r="121">
      <c r="A121" s="11" t="inlineStr">
        <is>
          <t>10. THE QUALITY QUESTION</t>
        </is>
      </c>
      <c r="B121" s="12" t="n"/>
      <c r="C121" s="12" t="n"/>
      <c r="D121" s="12" t="n"/>
    </row>
    <row r="122">
      <c r="A122" s="36" t="inlineStr">
        <is>
          <t>Self-hosting is cheaper on paper by some margin. How much developer time does that margin actually buy? Under a percent and the quality gap settles the argument before the spreadsheet does.</t>
        </is>
      </c>
    </row>
    <row r="123">
      <c r="A123" s="48" t="inlineStr">
        <is>
          <t>Cheapest hosted route</t>
        </is>
      </c>
      <c r="B123" s="57">
        <f>MIN(H113,H114,H115,H116,H117,H118,H119)</f>
        <v/>
      </c>
    </row>
    <row r="124">
      <c r="A124" s="48" t="inlineStr">
        <is>
          <t>Cheapest self-hosted, before the quality gap</t>
        </is>
      </c>
      <c r="B124" s="57">
        <f>MIN(H110-G110,H111-G111,H112-G112)</f>
        <v/>
      </c>
    </row>
    <row r="125">
      <c r="A125" s="48" t="inlineStr">
        <is>
          <t>Monthly spend on coding time</t>
        </is>
      </c>
      <c r="B125" s="57">
        <f>codingHours*devRate</f>
        <v/>
      </c>
    </row>
    <row r="126">
      <c r="A126" s="48" t="inlineStr">
        <is>
          <t>Quality budget</t>
        </is>
      </c>
      <c r="B126" s="57">
        <f>cheapestHosted-cheapestOwn</f>
        <v/>
      </c>
      <c r="C126" s="68" t="inlineStr">
        <is>
          <t>what the self-hosted saving is worth</t>
        </is>
      </c>
    </row>
    <row r="127">
      <c r="A127" s="48" t="inlineStr">
        <is>
          <t>As a share of coding time</t>
        </is>
      </c>
      <c r="B127" s="52">
        <f>IF(codingSpend&gt;0,qualityBudget/codingSpend,0)</f>
        <v/>
      </c>
    </row>
    <row r="128">
      <c r="A128" s="48" t="inlineStr">
        <is>
          <t>What the acceptance gap actually costs</t>
        </is>
      </c>
      <c r="B128" s="52">
        <f>IF(codingHours&gt;0,devs*tasksDay*workdays*MAX(0,I38-baseMins)/60/codingHours,0)</f>
        <v/>
      </c>
    </row>
    <row r="130">
      <c r="A130" s="11" t="inlineStr">
        <is>
          <t>11. THE CHEAPEST FLAT PLAN THAT KEEPS UP WITH ONE SESSION</t>
        </is>
      </c>
      <c r="B130" s="12" t="n"/>
      <c r="C130" s="12" t="n"/>
      <c r="D130" s="12" t="n"/>
      <c r="E130" s="12" t="n"/>
    </row>
    <row r="131">
      <c r="A131" s="43" t="inlineStr">
        <is>
          <t>Flat plan</t>
        </is>
      </c>
      <c r="B131" s="77" t="inlineStr">
        <is>
          <t>$/dev/mo</t>
        </is>
      </c>
      <c r="C131" s="77" t="inlineStr">
        <is>
          <t>Sustained tok/s</t>
        </is>
      </c>
      <c r="D131" s="77" t="inlineStr">
        <is>
          <t>Headroom vs one session</t>
        </is>
      </c>
      <c r="E131" s="77" t="inlineStr">
        <is>
          <t>Keeps up?</t>
        </is>
      </c>
    </row>
    <row r="132">
      <c r="A132" s="39">
        <f>Catalogues!$A$38</f>
        <v/>
      </c>
      <c r="B132" s="31">
        <f>Catalogues!$B$38+IF(ownsBase="Yes",0,Catalogues!$C$38)</f>
        <v/>
      </c>
      <c r="C132" s="70">
        <f>Catalogues!$D$38/60</f>
        <v/>
      </c>
      <c r="D132" s="35">
        <f>IF(sessTps&gt;0,C132/sessTps,0)</f>
        <v/>
      </c>
      <c r="E132" s="31">
        <f>IF(D132&gt;=1,B132,"")</f>
        <v/>
      </c>
    </row>
    <row r="133">
      <c r="A133" s="39">
        <f>Catalogues!$A$39</f>
        <v/>
      </c>
      <c r="B133" s="31">
        <f>Catalogues!$B$39+IF(ownsBase="Yes",0,Catalogues!$C$39)</f>
        <v/>
      </c>
      <c r="C133" s="70">
        <f>Catalogues!$D$39/60</f>
        <v/>
      </c>
      <c r="D133" s="35">
        <f>IF(sessTps&gt;0,C133/sessTps,0)</f>
        <v/>
      </c>
      <c r="E133" s="31">
        <f>IF(D133&gt;=1,B133,"")</f>
        <v/>
      </c>
    </row>
    <row r="134">
      <c r="A134" s="39">
        <f>Catalogues!$A$40</f>
        <v/>
      </c>
      <c r="B134" s="31">
        <f>Catalogues!$B$40+IF(ownsBase="Yes",0,Catalogues!$C$40)</f>
        <v/>
      </c>
      <c r="C134" s="70">
        <f>Catalogues!$D$40/60</f>
        <v/>
      </c>
      <c r="D134" s="35">
        <f>IF(sessTps&gt;0,C134/sessTps,0)</f>
        <v/>
      </c>
      <c r="E134" s="31">
        <f>IF(D134&gt;=1,B134,"")</f>
        <v/>
      </c>
    </row>
    <row r="135">
      <c r="A135" s="39">
        <f>Catalogues!$A$41</f>
        <v/>
      </c>
      <c r="B135" s="31">
        <f>Catalogues!$B$41+IF(ownsBase="Yes",0,Catalogues!$C$41)</f>
        <v/>
      </c>
      <c r="C135" s="70">
        <f>Catalogues!$D$41/60</f>
        <v/>
      </c>
      <c r="D135" s="35">
        <f>IF(sessTps&gt;0,C135/sessTps,0)</f>
        <v/>
      </c>
      <c r="E135" s="31">
        <f>IF(D135&gt;=1,B135,"")</f>
        <v/>
      </c>
    </row>
    <row r="136">
      <c r="A136" s="39">
        <f>Catalogues!$A$42</f>
        <v/>
      </c>
      <c r="B136" s="31">
        <f>Catalogues!$B$42+IF(ownsBase="Yes",0,Catalogues!$C$42)</f>
        <v/>
      </c>
      <c r="C136" s="70">
        <f>Catalogues!$D$42/60</f>
        <v/>
      </c>
      <c r="D136" s="35">
        <f>IF(sessTps&gt;0,C136/sessTps,0)</f>
        <v/>
      </c>
      <c r="E136" s="31">
        <f>IF(D136&gt;=1,B136,"")</f>
        <v/>
      </c>
    </row>
    <row r="137">
      <c r="A137" s="39">
        <f>Catalogues!$A$43</f>
        <v/>
      </c>
      <c r="B137" s="31">
        <f>Catalogues!$B$43+IF(ownsBase="Yes",0,Catalogues!$C$43)</f>
        <v/>
      </c>
      <c r="C137" s="70">
        <f>Catalogues!$D$43/60</f>
        <v/>
      </c>
      <c r="D137" s="35">
        <f>IF(sessTps&gt;0,C137/sessTps,0)</f>
        <v/>
      </c>
      <c r="E137" s="31">
        <f>IF(D137&gt;=1,B137,"")</f>
        <v/>
      </c>
    </row>
    <row r="138">
      <c r="A138" s="39">
        <f>Catalogues!$A$44</f>
        <v/>
      </c>
      <c r="B138" s="31">
        <f>Catalogues!$B$44+IF(ownsBase="Yes",0,Catalogues!$C$44)</f>
        <v/>
      </c>
      <c r="C138" s="70">
        <f>Catalogues!$D$44/60</f>
        <v/>
      </c>
      <c r="D138" s="35">
        <f>IF(sessTps&gt;0,C138/sessTps,0)</f>
        <v/>
      </c>
      <c r="E138" s="31">
        <f>IF(D138&gt;=1,B138,"")</f>
        <v/>
      </c>
    </row>
    <row r="139">
      <c r="A139" s="39">
        <f>Catalogues!$A$45</f>
        <v/>
      </c>
      <c r="B139" s="31">
        <f>Catalogues!$B$45+IF(ownsBase="Yes",0,Catalogues!$C$45)</f>
        <v/>
      </c>
      <c r="C139" s="70">
        <f>Catalogues!$D$45/60</f>
        <v/>
      </c>
      <c r="D139" s="35">
        <f>IF(sessTps&gt;0,C139/sessTps,0)</f>
        <v/>
      </c>
      <c r="E139" s="31">
        <f>IF(D139&gt;=1,B139,"")</f>
        <v/>
      </c>
    </row>
    <row r="140">
      <c r="A140" s="39">
        <f>Catalogues!$A$46</f>
        <v/>
      </c>
      <c r="B140" s="31">
        <f>Catalogues!$B$46+IF(ownsBase="Yes",0,Catalogues!$C$46)</f>
        <v/>
      </c>
      <c r="C140" s="70">
        <f>Catalogues!$D$46/60</f>
        <v/>
      </c>
      <c r="D140" s="35">
        <f>IF(sessTps&gt;0,C140/sessTps,0)</f>
        <v/>
      </c>
      <c r="E140" s="31">
        <f>IF(D140&gt;=1,B140,"")</f>
        <v/>
      </c>
    </row>
    <row r="141">
      <c r="A141" s="39">
        <f>Catalogues!$A$47</f>
        <v/>
      </c>
      <c r="B141" s="31">
        <f>Catalogues!$B$47+IF(ownsBase="Yes",0,Catalogues!$C$47)</f>
        <v/>
      </c>
      <c r="C141" s="70">
        <f>Catalogues!$D$47/60</f>
        <v/>
      </c>
      <c r="D141" s="35">
        <f>IF(sessTps&gt;0,C141/sessTps,0)</f>
        <v/>
      </c>
      <c r="E141" s="31">
        <f>IF(D141&gt;=1,B141,"")</f>
        <v/>
      </c>
    </row>
    <row r="142">
      <c r="A142" s="48" t="inlineStr">
        <is>
          <t>Cheapest plan that keeps up</t>
        </is>
      </c>
      <c r="B142" s="57">
        <f>IFERROR(MIN($E$132:$E$141),0)</f>
        <v/>
      </c>
    </row>
    <row r="143">
      <c r="A143" s="48" t="inlineStr">
        <is>
          <t>Its name</t>
        </is>
      </c>
      <c r="B143" s="80">
        <f>IFERROR(INDEX($A$132:$A$141,MATCH(planFitCost,$E$132:$E$141,0)),"none in the list")</f>
        <v/>
      </c>
    </row>
    <row r="144">
      <c r="A144" s="48" t="inlineStr">
        <is>
          <t>For the whole team</t>
        </is>
      </c>
      <c r="B144" s="57">
        <f>planFitCost*devs</f>
        <v/>
      </c>
    </row>
  </sheetData>
  <pageMargins left="0.75" right="0.75" top="1" bottom="1" header="0.5" footer="0.5"/>
</worksheet>
</file>

<file path=xl/worksheets/sheet6.xml><?xml version="1.0" encoding="utf-8"?>
<worksheet xmlns="http://schemas.openxmlformats.org/spreadsheetml/2006/main">
  <sheetPr>
    <tabColor rgb="009AA3AE"/>
    <outlinePr summaryBelow="1" summaryRight="1"/>
    <pageSetUpPr/>
  </sheetPr>
  <dimension ref="A1:G63"/>
  <sheetViews>
    <sheetView showGridLines="0"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Catalogues</t>
        </is>
      </c>
    </row>
    <row r="2">
      <c r="A2" s="2" t="inlineStr">
        <is>
          <t>Specifications and list prices the dropdowns on Inputs read from. Every figure here is a published list price or vendor spec; edit a cell to use your own.</t>
        </is>
      </c>
    </row>
    <row r="4">
      <c r="A4" s="11" t="inlineStr">
        <is>
          <t>OPEN-WEIGHT MODEL</t>
        </is>
      </c>
      <c r="B4" s="12" t="n"/>
      <c r="C4" s="12" t="n"/>
      <c r="D4" s="12" t="n"/>
    </row>
    <row r="5">
      <c r="A5" s="14" t="inlineStr">
        <is>
          <t>Open-weight model</t>
        </is>
      </c>
      <c r="B5" s="82" t="inlineStr">
        <is>
          <t>Total B</t>
        </is>
      </c>
      <c r="C5" s="82" t="inlineStr">
        <is>
          <t>Active B</t>
        </is>
      </c>
      <c r="D5" s="82" t="inlineStr">
        <is>
          <t>KV MB/k tok</t>
        </is>
      </c>
    </row>
    <row r="6">
      <c r="A6" s="30" t="inlineStr">
        <is>
          <t>Qwen3-Coder 480B-A35B</t>
        </is>
      </c>
      <c r="B6" s="34" t="n">
        <v>480</v>
      </c>
      <c r="C6" s="34" t="n">
        <v>35</v>
      </c>
      <c r="D6" s="71" t="n">
        <v>0.25</v>
      </c>
    </row>
    <row r="7">
      <c r="A7" s="23" t="inlineStr">
        <is>
          <t>DeepSeek-V3 671B-A37B</t>
        </is>
      </c>
      <c r="B7" s="27" t="n">
        <v>671</v>
      </c>
      <c r="C7" s="27" t="n">
        <v>37</v>
      </c>
      <c r="D7" s="83" t="n">
        <v>0.07000000000000001</v>
      </c>
    </row>
    <row r="8">
      <c r="A8" s="30" t="inlineStr">
        <is>
          <t>Kimi K2 1T-A32B</t>
        </is>
      </c>
      <c r="B8" s="34" t="n">
        <v>1000</v>
      </c>
      <c r="C8" s="34" t="n">
        <v>32</v>
      </c>
      <c r="D8" s="71" t="n">
        <v>0.06</v>
      </c>
    </row>
    <row r="9">
      <c r="A9" s="23" t="inlineStr">
        <is>
          <t>GLM 355B-A32B</t>
        </is>
      </c>
      <c r="B9" s="27" t="n">
        <v>355</v>
      </c>
      <c r="C9" s="27" t="n">
        <v>32</v>
      </c>
      <c r="D9" s="83" t="n">
        <v>0.22</v>
      </c>
    </row>
    <row r="10">
      <c r="A10" s="30" t="inlineStr">
        <is>
          <t>Llama 3.1 405B dense</t>
        </is>
      </c>
      <c r="B10" s="34" t="n">
        <v>405</v>
      </c>
      <c r="C10" s="34" t="n">
        <v>405</v>
      </c>
      <c r="D10" s="71" t="n">
        <v>0.52</v>
      </c>
    </row>
    <row r="11">
      <c r="A11" s="23" t="inlineStr">
        <is>
          <t>gpt-oss 120B-A5.1B</t>
        </is>
      </c>
      <c r="B11" s="27" t="n">
        <v>117</v>
      </c>
      <c r="C11" s="27" t="n">
        <v>5.1</v>
      </c>
      <c r="D11" s="83" t="n">
        <v>0.14</v>
      </c>
    </row>
    <row r="12">
      <c r="A12" s="30" t="inlineStr">
        <is>
          <t>Llama 3.3 70B dense</t>
        </is>
      </c>
      <c r="B12" s="34" t="n">
        <v>70</v>
      </c>
      <c r="C12" s="34" t="n">
        <v>70</v>
      </c>
      <c r="D12" s="71" t="n">
        <v>0.31</v>
      </c>
    </row>
    <row r="13">
      <c r="A13" s="23" t="inlineStr">
        <is>
          <t>Qwen3 32B dense</t>
        </is>
      </c>
      <c r="B13" s="27" t="n">
        <v>32</v>
      </c>
      <c r="C13" s="27" t="n">
        <v>32</v>
      </c>
      <c r="D13" s="83" t="n">
        <v>0.26</v>
      </c>
    </row>
    <row r="14">
      <c r="A14" s="30" t="inlineStr">
        <is>
          <t>Devstral 24B dense</t>
        </is>
      </c>
      <c r="B14" s="34" t="n">
        <v>24</v>
      </c>
      <c r="C14" s="34" t="n">
        <v>24</v>
      </c>
      <c r="D14" s="71" t="n">
        <v>0.16</v>
      </c>
    </row>
    <row r="15">
      <c r="A15" s="23" t="inlineStr">
        <is>
          <t>gpt-oss 20B-A3.6B</t>
        </is>
      </c>
      <c r="B15" s="27" t="n">
        <v>21</v>
      </c>
      <c r="C15" s="27" t="n">
        <v>3.6</v>
      </c>
      <c r="D15" s="83" t="n">
        <v>0.09</v>
      </c>
    </row>
    <row r="16">
      <c r="A16" s="36" t="inlineStr">
        <is>
          <t>Active parameters drive decode speed; total parameters drive memory. A mixture-of-experts model holds all of the first and reads only the second.</t>
        </is>
      </c>
    </row>
    <row r="18">
      <c r="A18" s="11" t="inlineStr">
        <is>
          <t>WEIGHT PRECISION</t>
        </is>
      </c>
      <c r="B18" s="12" t="n"/>
      <c r="C18" s="12" t="n"/>
    </row>
    <row r="19">
      <c r="A19" s="14" t="inlineStr">
        <is>
          <t>Weight precision</t>
        </is>
      </c>
      <c r="B19" s="82" t="inlineStr">
        <is>
          <t>Bytes/param</t>
        </is>
      </c>
      <c r="C19" s="82" t="inlineStr">
        <is>
          <t>KV factor</t>
        </is>
      </c>
    </row>
    <row r="20">
      <c r="A20" s="30" t="inlineStr">
        <is>
          <t>BF16 / FP16</t>
        </is>
      </c>
      <c r="B20" s="34" t="n">
        <v>2</v>
      </c>
      <c r="C20" s="34" t="n">
        <v>1</v>
      </c>
    </row>
    <row r="21">
      <c r="A21" s="23" t="inlineStr">
        <is>
          <t>FP8 / INT8</t>
        </is>
      </c>
      <c r="B21" s="27" t="n">
        <v>1</v>
      </c>
      <c r="C21" s="83" t="n">
        <v>0.5</v>
      </c>
    </row>
    <row r="22">
      <c r="A22" s="30" t="inlineStr">
        <is>
          <t>INT4 / MXFP4</t>
        </is>
      </c>
      <c r="B22" s="71" t="n">
        <v>0.55</v>
      </c>
      <c r="C22" s="71" t="n">
        <v>0.5</v>
      </c>
    </row>
    <row r="24">
      <c r="A24" s="11" t="inlineStr">
        <is>
          <t>ACCELERATOR</t>
        </is>
      </c>
      <c r="B24" s="12" t="n"/>
      <c r="C24" s="12" t="n"/>
      <c r="D24" s="12" t="n"/>
      <c r="E24" s="12" t="n"/>
      <c r="F24" s="12" t="n"/>
      <c r="G24" s="12" t="n"/>
    </row>
    <row r="25">
      <c r="A25" s="14" t="inlineStr">
        <is>
          <t>Accelerator</t>
        </is>
      </c>
      <c r="B25" s="82" t="inlineStr">
        <is>
          <t>Memory GB</t>
        </is>
      </c>
      <c r="C25" s="82" t="inlineStr">
        <is>
          <t>Bandwidth GB/s</t>
        </is>
      </c>
      <c r="D25" s="82" t="inlineStr">
        <is>
          <t>Dense TFLOPS</t>
        </is>
      </c>
      <c r="E25" s="82" t="inlineStr">
        <is>
          <t>Buy $</t>
        </is>
      </c>
      <c r="F25" s="82" t="inlineStr">
        <is>
          <t>Rent $/h</t>
        </is>
      </c>
      <c r="G25" s="82" t="inlineStr">
        <is>
          <t>Draw W</t>
        </is>
      </c>
    </row>
    <row r="26">
      <c r="A26" s="30" t="inlineStr">
        <is>
          <t>A100 80GB SXM</t>
        </is>
      </c>
      <c r="B26" s="34" t="n">
        <v>80</v>
      </c>
      <c r="C26" s="34" t="n">
        <v>2039</v>
      </c>
      <c r="D26" s="34" t="n">
        <v>312</v>
      </c>
      <c r="E26" s="34" t="n">
        <v>12000</v>
      </c>
      <c r="F26" s="34" t="n">
        <v>1.1</v>
      </c>
      <c r="G26" s="34" t="n">
        <v>400</v>
      </c>
    </row>
    <row r="27">
      <c r="A27" s="23" t="inlineStr">
        <is>
          <t>H100 80GB SXM</t>
        </is>
      </c>
      <c r="B27" s="27" t="n">
        <v>80</v>
      </c>
      <c r="C27" s="27" t="n">
        <v>3350</v>
      </c>
      <c r="D27" s="27" t="n">
        <v>990</v>
      </c>
      <c r="E27" s="27" t="n">
        <v>31000</v>
      </c>
      <c r="F27" s="27" t="n">
        <v>2.4</v>
      </c>
      <c r="G27" s="27" t="n">
        <v>700</v>
      </c>
    </row>
    <row r="28">
      <c r="A28" s="30" t="inlineStr">
        <is>
          <t>H200 141GB SXM</t>
        </is>
      </c>
      <c r="B28" s="34" t="n">
        <v>141</v>
      </c>
      <c r="C28" s="34" t="n">
        <v>4800</v>
      </c>
      <c r="D28" s="34" t="n">
        <v>990</v>
      </c>
      <c r="E28" s="34" t="n">
        <v>34000</v>
      </c>
      <c r="F28" s="34" t="n">
        <v>3.2</v>
      </c>
      <c r="G28" s="34" t="n">
        <v>700</v>
      </c>
    </row>
    <row r="29">
      <c r="A29" s="23" t="inlineStr">
        <is>
          <t>B200 180GB</t>
        </is>
      </c>
      <c r="B29" s="27" t="n">
        <v>180</v>
      </c>
      <c r="C29" s="27" t="n">
        <v>8000</v>
      </c>
      <c r="D29" s="27" t="n">
        <v>2250</v>
      </c>
      <c r="E29" s="27" t="n">
        <v>55000</v>
      </c>
      <c r="F29" s="27" t="n">
        <v>6</v>
      </c>
      <c r="G29" s="27" t="n">
        <v>1000</v>
      </c>
    </row>
    <row r="30">
      <c r="A30" s="30" t="inlineStr">
        <is>
          <t>MI300X 192GB</t>
        </is>
      </c>
      <c r="B30" s="34" t="n">
        <v>192</v>
      </c>
      <c r="C30" s="34" t="n">
        <v>5300</v>
      </c>
      <c r="D30" s="34" t="n">
        <v>1300</v>
      </c>
      <c r="E30" s="34" t="n">
        <v>18000</v>
      </c>
      <c r="F30" s="34" t="n">
        <v>2</v>
      </c>
      <c r="G30" s="34" t="n">
        <v>750</v>
      </c>
    </row>
    <row r="31">
      <c r="A31" s="23" t="inlineStr">
        <is>
          <t>L40S 48GB</t>
        </is>
      </c>
      <c r="B31" s="27" t="n">
        <v>48</v>
      </c>
      <c r="C31" s="27" t="n">
        <v>864</v>
      </c>
      <c r="D31" s="27" t="n">
        <v>362</v>
      </c>
      <c r="E31" s="27" t="n">
        <v>8000</v>
      </c>
      <c r="F31" s="27" t="n">
        <v>1.1</v>
      </c>
      <c r="G31" s="27" t="n">
        <v>350</v>
      </c>
    </row>
    <row r="32">
      <c r="A32" s="30" t="inlineStr">
        <is>
          <t>RTX 6000 Ada 48GB</t>
        </is>
      </c>
      <c r="B32" s="34" t="n">
        <v>48</v>
      </c>
      <c r="C32" s="34" t="n">
        <v>960</v>
      </c>
      <c r="D32" s="34" t="n">
        <v>364</v>
      </c>
      <c r="E32" s="34" t="n">
        <v>7000</v>
      </c>
      <c r="F32" s="71" t="n">
        <v>0.9</v>
      </c>
      <c r="G32" s="34" t="n">
        <v>300</v>
      </c>
    </row>
    <row r="33">
      <c r="A33" s="23" t="inlineStr">
        <is>
          <t>RTX 5090 32GB</t>
        </is>
      </c>
      <c r="B33" s="27" t="n">
        <v>32</v>
      </c>
      <c r="C33" s="27" t="n">
        <v>1792</v>
      </c>
      <c r="D33" s="27" t="n">
        <v>838</v>
      </c>
      <c r="E33" s="27" t="n">
        <v>2500</v>
      </c>
      <c r="F33" s="83" t="n">
        <v>0.7</v>
      </c>
      <c r="G33" s="27" t="n">
        <v>575</v>
      </c>
    </row>
    <row r="34">
      <c r="A34" s="36" t="inlineStr">
        <is>
          <t>Purchase prices are street estimates for whole systems, not quotes.</t>
        </is>
      </c>
    </row>
    <row r="36">
      <c r="A36" s="11" t="inlineStr">
        <is>
          <t>FLAT PLAN</t>
        </is>
      </c>
      <c r="B36" s="12" t="n"/>
      <c r="C36" s="12" t="n"/>
      <c r="D36" s="12" t="n"/>
    </row>
    <row r="37">
      <c r="A37" s="14" t="inlineStr">
        <is>
          <t>Flat plan</t>
        </is>
      </c>
      <c r="B37" s="82" t="inlineStr">
        <is>
          <t>$/seat/mo</t>
        </is>
      </c>
      <c r="C37" s="82" t="inlineStr">
        <is>
          <t>Platform seat $</t>
        </is>
      </c>
      <c r="D37" s="82" t="inlineStr">
        <is>
          <t>Sustained tok/min</t>
        </is>
      </c>
    </row>
    <row r="38">
      <c r="A38" s="30" t="inlineStr">
        <is>
          <t>GitHub Copilot Pro - individual</t>
        </is>
      </c>
      <c r="B38" s="34" t="n">
        <v>10</v>
      </c>
      <c r="C38" s="34" t="n">
        <v>0</v>
      </c>
      <c r="D38" s="34" t="n">
        <v>300</v>
      </c>
    </row>
    <row r="39">
      <c r="A39" s="23" t="inlineStr">
        <is>
          <t>Claude Pro - individual</t>
        </is>
      </c>
      <c r="B39" s="27" t="n">
        <v>20</v>
      </c>
      <c r="C39" s="27" t="n">
        <v>0</v>
      </c>
      <c r="D39" s="27" t="n">
        <v>350</v>
      </c>
    </row>
    <row r="40">
      <c r="A40" s="30" t="inlineStr">
        <is>
          <t>Cursor Pro - individual</t>
        </is>
      </c>
      <c r="B40" s="34" t="n">
        <v>20</v>
      </c>
      <c r="C40" s="34" t="n">
        <v>0</v>
      </c>
      <c r="D40" s="34" t="n">
        <v>350</v>
      </c>
    </row>
    <row r="41">
      <c r="A41" s="23" t="inlineStr">
        <is>
          <t>ChatGPT Plus - individual</t>
        </is>
      </c>
      <c r="B41" s="27" t="n">
        <v>20</v>
      </c>
      <c r="C41" s="27" t="n">
        <v>0</v>
      </c>
      <c r="D41" s="27" t="n">
        <v>350</v>
      </c>
    </row>
    <row r="42">
      <c r="A42" s="30" t="inlineStr">
        <is>
          <t>Claude Max 5x - individual</t>
        </is>
      </c>
      <c r="B42" s="34" t="n">
        <v>100</v>
      </c>
      <c r="C42" s="34" t="n">
        <v>0</v>
      </c>
      <c r="D42" s="34" t="n">
        <v>1800</v>
      </c>
    </row>
    <row r="43">
      <c r="A43" s="23" t="inlineStr">
        <is>
          <t>Claude Max 20x - individual</t>
        </is>
      </c>
      <c r="B43" s="27" t="n">
        <v>200</v>
      </c>
      <c r="C43" s="27" t="n">
        <v>0</v>
      </c>
      <c r="D43" s="27" t="n">
        <v>7000</v>
      </c>
    </row>
    <row r="44">
      <c r="A44" s="30" t="inlineStr">
        <is>
          <t>ChatGPT Pro - individual</t>
        </is>
      </c>
      <c r="B44" s="34" t="n">
        <v>200</v>
      </c>
      <c r="C44" s="34" t="n">
        <v>0</v>
      </c>
      <c r="D44" s="34" t="n">
        <v>7000</v>
      </c>
    </row>
    <row r="45">
      <c r="A45" s="23" t="inlineStr">
        <is>
          <t>Cursor Standard - team</t>
        </is>
      </c>
      <c r="B45" s="27" t="n">
        <v>40</v>
      </c>
      <c r="C45" s="27" t="n">
        <v>0</v>
      </c>
      <c r="D45" s="27" t="n">
        <v>900</v>
      </c>
    </row>
    <row r="46">
      <c r="A46" s="30" t="inlineStr">
        <is>
          <t>Cursor Premium - team</t>
        </is>
      </c>
      <c r="B46" s="34" t="n">
        <v>120</v>
      </c>
      <c r="C46" s="34" t="n">
        <v>0</v>
      </c>
      <c r="D46" s="34" t="n">
        <v>2200</v>
      </c>
    </row>
    <row r="47">
      <c r="A47" s="23" t="inlineStr">
        <is>
          <t>GitHub Copilot Enterprise</t>
        </is>
      </c>
      <c r="B47" s="27" t="n">
        <v>39</v>
      </c>
      <c r="C47" s="27" t="n">
        <v>21</v>
      </c>
      <c r="D47" s="27" t="n">
        <v>900</v>
      </c>
    </row>
    <row r="48">
      <c r="A48" s="36" t="inlineStr">
        <is>
          <t>Sustained tok/min is an ESTIMATE of what each plan's rate limits allow an agent to pull, not a published figure. Treat it as a starting point and measure your own.</t>
        </is>
      </c>
    </row>
    <row r="50">
      <c r="A50" s="11" t="inlineStr">
        <is>
          <t>FRONTIER RATE CARD</t>
        </is>
      </c>
      <c r="B50" s="12" t="n"/>
      <c r="C50" s="12" t="n"/>
      <c r="D50" s="12" t="n"/>
      <c r="E50" s="12" t="n"/>
    </row>
    <row r="51">
      <c r="A51" s="14" t="inlineStr">
        <is>
          <t>Frontier rate card</t>
        </is>
      </c>
      <c r="B51" s="82" t="inlineStr">
        <is>
          <t>Lab</t>
        </is>
      </c>
      <c r="C51" s="82" t="inlineStr">
        <is>
          <t>In $/M</t>
        </is>
      </c>
      <c r="D51" s="82" t="inlineStr">
        <is>
          <t>Out $/M</t>
        </is>
      </c>
      <c r="E51" s="82" t="inlineStr">
        <is>
          <t>Cache read $/M</t>
        </is>
      </c>
    </row>
    <row r="52">
      <c r="A52" s="30" t="inlineStr">
        <is>
          <t>Claude Sonnet 5</t>
        </is>
      </c>
      <c r="B52" s="65" t="inlineStr">
        <is>
          <t>Anthropic</t>
        </is>
      </c>
      <c r="C52" s="34" t="n">
        <v>2</v>
      </c>
      <c r="D52" s="34" t="n">
        <v>10</v>
      </c>
      <c r="E52" s="71" t="n">
        <v>0.2</v>
      </c>
    </row>
    <row r="53">
      <c r="A53" s="23" t="inlineStr">
        <is>
          <t>Claude Opus 5</t>
        </is>
      </c>
      <c r="B53" s="84" t="inlineStr">
        <is>
          <t>Anthropic</t>
        </is>
      </c>
      <c r="C53" s="27" t="n">
        <v>15</v>
      </c>
      <c r="D53" s="27" t="n">
        <v>75</v>
      </c>
      <c r="E53" s="27" t="n">
        <v>1.5</v>
      </c>
    </row>
    <row r="54">
      <c r="A54" s="30" t="inlineStr">
        <is>
          <t>Claude Haiku 4.5</t>
        </is>
      </c>
      <c r="B54" s="65" t="inlineStr">
        <is>
          <t>Anthropic</t>
        </is>
      </c>
      <c r="C54" s="34" t="n">
        <v>1</v>
      </c>
      <c r="D54" s="34" t="n">
        <v>5</v>
      </c>
      <c r="E54" s="71" t="n">
        <v>0.1</v>
      </c>
    </row>
    <row r="55">
      <c r="A55" s="23" t="inlineStr">
        <is>
          <t>GPT-5.6 Sol</t>
        </is>
      </c>
      <c r="B55" s="84" t="inlineStr">
        <is>
          <t>OpenAI</t>
        </is>
      </c>
      <c r="C55" s="27" t="n">
        <v>4</v>
      </c>
      <c r="D55" s="27" t="n">
        <v>20</v>
      </c>
      <c r="E55" s="83" t="n">
        <v>0.4</v>
      </c>
    </row>
    <row r="56">
      <c r="A56" s="36" t="inlineStr">
        <is>
          <t>List prices move. Check them against the vendor's pricing page before quoting anyone.</t>
        </is>
      </c>
    </row>
    <row r="58">
      <c r="A58" s="11" t="inlineStr">
        <is>
          <t>EFFECTIVENESS PROFILE</t>
        </is>
      </c>
      <c r="B58" s="12" t="n"/>
      <c r="C58" s="12" t="n"/>
      <c r="D58" s="12" t="n"/>
      <c r="E58" s="12" t="n"/>
      <c r="F58" s="12" t="n"/>
      <c r="G58" s="12" t="n"/>
    </row>
    <row r="59">
      <c r="A59" s="14" t="inlineStr">
        <is>
          <t>Effectiveness profile</t>
        </is>
      </c>
      <c r="B59" s="82" t="inlineStr">
        <is>
          <t>Frontier 1st pass</t>
        </is>
      </c>
      <c r="C59" s="82" t="inlineStr">
        <is>
          <t>Open 1st pass</t>
        </is>
      </c>
      <c r="D59" s="82" t="inlineStr">
        <is>
          <t>Frontier repair</t>
        </is>
      </c>
      <c r="E59" s="82" t="inlineStr">
        <is>
          <t>Open repair</t>
        </is>
      </c>
      <c r="F59" s="82" t="inlineStr">
        <is>
          <t>Frontier never</t>
        </is>
      </c>
      <c r="G59" s="82" t="inlineStr">
        <is>
          <t>Open never</t>
        </is>
      </c>
    </row>
    <row r="60">
      <c r="A60" s="30" t="inlineStr">
        <is>
          <t>Observed - mid-range of published results</t>
        </is>
      </c>
      <c r="B60" s="71" t="n">
        <v>0.45</v>
      </c>
      <c r="C60" s="71" t="n">
        <v>0.34</v>
      </c>
      <c r="D60" s="71" t="n">
        <v>0.35</v>
      </c>
      <c r="E60" s="71" t="n">
        <v>0.3</v>
      </c>
      <c r="F60" s="71" t="n">
        <v>0.05</v>
      </c>
      <c r="G60" s="71" t="n">
        <v>0.12</v>
      </c>
    </row>
    <row r="61">
      <c r="A61" s="23" t="inlineStr">
        <is>
          <t>Optimistic - top of SWE-bench Pro</t>
        </is>
      </c>
      <c r="B61" s="83" t="n">
        <v>0.58</v>
      </c>
      <c r="C61" s="83" t="n">
        <v>0.48</v>
      </c>
      <c r="D61" s="83" t="n">
        <v>0.4</v>
      </c>
      <c r="E61" s="83" t="n">
        <v>0.35</v>
      </c>
      <c r="F61" s="83" t="n">
        <v>0.03</v>
      </c>
      <c r="G61" s="83" t="n">
        <v>0.08</v>
      </c>
    </row>
    <row r="62">
      <c r="A62" s="30" t="inlineStr">
        <is>
          <t>Conservative - hard, unfamiliar repos</t>
        </is>
      </c>
      <c r="B62" s="71" t="n">
        <v>0.36</v>
      </c>
      <c r="C62" s="71" t="n">
        <v>0.25</v>
      </c>
      <c r="D62" s="71" t="n">
        <v>0.28</v>
      </c>
      <c r="E62" s="71" t="n">
        <v>0.22</v>
      </c>
      <c r="F62" s="71" t="n">
        <v>0.1</v>
      </c>
      <c r="G62" s="71" t="n">
        <v>0.22</v>
      </c>
    </row>
    <row r="63">
      <c r="A63" s="36" t="inlineStr">
        <is>
          <t>Anchored on SWE-bench Pro pass@1. To depart from a profile, type your own number into the Override column on Inputs - it beats the catalogue wherever it is not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neocloudcalc</dc:creator>
  <dc:title>Coding assistant - three-year cost of ownership</dc:title>
  <dc:description>Offline edition of the coding-model TCO calculator. Formulas only, no macros. Change the blue cells on Inputs; every other sheet recalculates.</dc:description>
  <dcterms:created xsi:type="dcterms:W3CDTF">2026-09-22T14:45:31Z</dcterms:created>
  <dcterms:modified xsi:type="dcterms:W3CDTF">2026-09-22T14:45:31Z</dcterms:modified>
</cp:coreProperties>
</file>